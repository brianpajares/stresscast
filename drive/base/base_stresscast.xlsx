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142b17dc1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8043f4258f4149c0"/>
    <x:sheet xmlns:r="http://schemas.openxmlformats.org/officeDocument/2006/relationships" name="Diccionario" sheetId="2" r:id="R99cccc25cbb74168"/>
    <x:sheet xmlns:r="http://schemas.openxmlformats.org/officeDocument/2006/relationships" name="Parametros" sheetId="3" r:id="Rc4dc2175859041ea"/>
    <x:sheet xmlns:r="http://schemas.openxmlformats.org/officeDocument/2006/relationships" name="Tablas_CBI" sheetId="4" r:id="Rb70bdf7093df4b43"/>
    <x:sheet xmlns:r="http://schemas.openxmlformats.org/officeDocument/2006/relationships" name="Tablas_Escala" sheetId="5" r:id="R51e5502c8a6d445c"/>
    <x:sheet xmlns:r="http://schemas.openxmlformats.org/officeDocument/2006/relationships" name="Tablas_Benchmark" sheetId="6" r:id="R426a95696d58487a"/>
    <x:sheet xmlns:r="http://schemas.openxmlformats.org/officeDocument/2006/relationships" name="Tablas_Precios" sheetId="7" r:id="R63289a2923764abb"/>
    <x:sheet xmlns:r="http://schemas.openxmlformats.org/officeDocument/2006/relationships" name="Fuentes" sheetId="8" r:id="Rd21bb5936cb24c11"/>
    <x:sheet xmlns:r="http://schemas.openxmlformats.org/officeDocument/2006/relationships" name="Motor" sheetId="9" r:id="R221e1414882d48f6"/>
    <x:sheet xmlns:r="http://schemas.openxmlformats.org/officeDocument/2006/relationships" name="Casos_Prueba" sheetId="10" r:id="Ra27fb8511662496a"/>
    <x:sheet xmlns:r="http://schemas.openxmlformats.org/officeDocument/2006/relationships" name="Changelog" sheetId="11" r:id="Rc1913b9bd352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0.0000"/>
    <x:numFmt numFmtId="203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681aefa3c4716" /><Relationship Type="http://schemas.openxmlformats.org/officeDocument/2006/relationships/theme" Target="/xl/theme/theme1.xml" Id="R92bc25069afe40c2" /><Relationship Type="http://schemas.microsoft.com/office/2022/11/relationships/FeaturePropertyBag" Target="/xl/featurePropertyBag/featurePropertyBag.xml" Id="R0cdd8b1e052343f3" /><Relationship Type="http://schemas.openxmlformats.org/officeDocument/2006/relationships/sharedStrings" Target="/xl/sharedStrings.xml" Id="R152bca8c1b244815" /><Relationship Type="http://schemas.openxmlformats.org/officeDocument/2006/relationships/worksheet" Target="/xl/worksheets/sheet1.xml" Id="R8043f4258f4149c0" /><Relationship Type="http://schemas.openxmlformats.org/officeDocument/2006/relationships/worksheet" Target="/xl/worksheets/sheet2.xml" Id="R99cccc25cbb74168" /><Relationship Type="http://schemas.openxmlformats.org/officeDocument/2006/relationships/worksheet" Target="/xl/worksheets/sheet3.xml" Id="Rc4dc2175859041ea" /><Relationship Type="http://schemas.openxmlformats.org/officeDocument/2006/relationships/worksheet" Target="/xl/worksheets/sheet4.xml" Id="Rb70bdf7093df4b43" /><Relationship Type="http://schemas.openxmlformats.org/officeDocument/2006/relationships/worksheet" Target="/xl/worksheets/sheet5.xml" Id="R51e5502c8a6d445c" /><Relationship Type="http://schemas.openxmlformats.org/officeDocument/2006/relationships/worksheet" Target="/xl/worksheets/sheet6.xml" Id="R426a95696d58487a" /><Relationship Type="http://schemas.openxmlformats.org/officeDocument/2006/relationships/worksheet" Target="/xl/worksheets/sheet7.xml" Id="R63289a2923764abb" /><Relationship Type="http://schemas.openxmlformats.org/officeDocument/2006/relationships/worksheet" Target="/xl/worksheets/sheet8.xml" Id="Rd21bb5936cb24c11" /><Relationship Type="http://schemas.openxmlformats.org/officeDocument/2006/relationships/worksheet" Target="/xl/worksheets/sheet9.xml" Id="R221e1414882d48f6" /><Relationship Type="http://schemas.openxmlformats.org/officeDocument/2006/relationships/worksheet" Target="/xl/worksheets/sheet10.xml" Id="Ra27fb8511662496a" /><Relationship Type="http://schemas.openxmlformats.org/officeDocument/2006/relationships/worksheet" Target="/xl/worksheets/sheet11.xml" Id="Rc1913b9bd35248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f1044c0abe4a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Sobre de escenarios (no probabilístico)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Score</c:v>
          </c:tx>
          <c:marker>
            <c:symbol val="none"/>
          </c:marker>
          <c:cat>
            <c:strRef>
              <c:f>'Motor'!$D$15:$D$17</c:f>
              <c:strCache>
                <c:ptCount val="0"/>
              </c:strCache>
            </c:strRef>
          </c:cat>
          <c:val>
            <c:numRef>
              <c:f>'Motor'!$E$15:$E$17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f1044c0abe4a4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d252f5016eb3477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30" customHeight="1">
      <x:c r="A1" s="44" t="str">
        <x:v>StressCast · Base de datos y motor de referencia</x:v>
      </x:c>
      <x:c r="B1" s="44"/>
      <x:c r="C1" s="44"/>
      <x:c r="D1" s="44"/>
      <x:c r="E1" s="44"/>
      <x:c r="F1" s="44"/>
    </x:row>
    <x:row r="3">
      <x:c r="A3" s="12" t="str">
        <x:v>Campo</x:v>
      </x:c>
      <x:c r="B3" s="12" t="str">
        <x:v>Detalle</x:v>
      </x:c>
    </x:row>
    <x:row r="4">
      <x:c r="A4" s="22" t="str">
        <x:v>Propósito</x:v>
      </x:c>
      <x:c r="B4" s="23" t="str">
        <x:v>Base auditable para calcular el CBI Work-related (7 ítems), benchmark contextual, escenarios de sensibilidad a 30 días y precios localizados.</x:v>
      </x:c>
    </x:row>
    <x:row r="5">
      <x:c r="A5" s="22" t="str">
        <x:v>Versión</x:v>
      </x:c>
      <x:c r="B5" s="23" t="str">
        <x:v>2.0.0 · 2026-10-06</x:v>
      </x:c>
    </x:row>
    <x:row r="6">
      <x:c r="A6" s="22" t="str">
        <x:v>Modelo</x:v>
      </x:c>
      <x:c r="B6" s="23" t="str">
        <x:v>stresscast_cbi_work_scenario_v1 · score actual reproducible + sobre de escenarios; NO probabilidad calibrada.</x:v>
      </x:c>
    </x:row>
    <x:row r="7">
      <x:c r="A7" s="22" t="str">
        <x:v>Actualización CBI</x:v>
      </x:c>
      <x:c r="B7" s="23" t="str">
        <x:v>Cambiar solo si la fuente oficial NFA modifica ítems o scoring; registrar URL/fecha/estado en Changelog.</x:v>
      </x:c>
    </x:row>
    <x:row r="8">
      <x:c r="A8" s="22" t="str">
        <x:v>Actualización PPP</x:v>
      </x:c>
      <x:c r="B8" s="23" t="str">
        <x:v>Ejecutar ingest/ingest.py en el build con internet; revisar valores World Bank antes de reemplazar Tablas_Precios.</x:v>
      </x:c>
    </x:row>
    <x:row r="9">
      <x:c r="A9" s="22" t="str">
        <x:v>Estado de evidencia</x:v>
      </x:c>
      <x:c r="B9" s="23" t="str">
        <x:v>Datos de referencia del modelo: 96.8% de filas verificadas (30/31); la única fila preliminar es scenario_items_changed.</x:v>
      </x:c>
    </x:row>
    <x:row r="10">
      <x:c r="A10" s="22" t="str">
        <x:v>Advertencia</x:v>
      </x:c>
      <x:c r="B10" s="23" t="str">
        <x:v>No es diagnóstico médico. El corte &gt;=50 es una referencia PUMA, no un umbral clínico global.</x:v>
      </x:c>
    </x:row>
    <x:row r="11">
      <x:c r="A11" s="22" t="str">
        <x:v>Hojas</x:v>
      </x:c>
      <x:c r="B11" s="23" t="str">
        <x:v>Diccionario, Parametros, Tablas_CBI, Tablas_Escala, Tablas_Benchmark, Tablas_Precios, Motor, Casos_Prueba, Fuentes, Changelog.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20" hidden="0" customWidth="1"/>
    <x:col min="5" max="5" width="62" hidden="0" customWidth="1"/>
    <x:col min="6" max="6" width="20" hidden="0" customWidth="1"/>
  </x:cols>
  <x:sheetData>
    <x:row r="1" ht="24" customHeight="1">
      <x:c r="A1" s="12" t="str">
        <x:v>hoja</x:v>
      </x:c>
      <x:c r="B1" s="12" t="str">
        <x:v>campo</x:v>
      </x:c>
      <x:c r="C1" s="12" t="str">
        <x:v>tipo</x:v>
      </x:c>
      <x:c r="D1" s="12" t="str">
        <x:v>unidad</x:v>
      </x:c>
      <x:c r="E1" s="12" t="str">
        <x:v>descripcion</x:v>
      </x:c>
      <x:c r="F1" s="12" t="str">
        <x:v>estado</x:v>
      </x:c>
    </x:row>
    <x:row r="2">
      <x:c r="A2" s="23" t="str">
        <x:v>Parametros</x:v>
      </x:c>
      <x:c r="B2" s="23" t="str">
        <x:v>parametro</x:v>
      </x:c>
      <x:c r="C2" s="23" t="str">
        <x:v>string</x:v>
      </x:c>
      <x:c r="D2" s="23" t="str">
        <x:v>—</x:v>
      </x:c>
      <x:c r="E2" s="23" t="str">
        <x:v>Identificador estable del parámetro.</x:v>
      </x:c>
      <x:c r="F2" s="23" t="str">
        <x:v>verificado</x:v>
      </x:c>
    </x:row>
    <x:row r="3">
      <x:c r="A3" s="23" t="str">
        <x:v>Parametros</x:v>
      </x:c>
      <x:c r="B3" s="23" t="str">
        <x:v>valor</x:v>
      </x:c>
      <x:c r="C3" s="23" t="str">
        <x:v>number</x:v>
      </x:c>
      <x:c r="D3" s="23" t="str">
        <x:v>según fila</x:v>
      </x:c>
      <x:c r="E3" s="23" t="str">
        <x:v>Valor consumido por el motor.</x:v>
      </x:c>
      <x:c r="F3" s="23" t="str">
        <x:v>mixto</x:v>
      </x:c>
    </x:row>
    <x:row r="4">
      <x:c r="A4" s="23" t="str">
        <x:v>Tablas_CBI</x:v>
      </x:c>
      <x:c r="B4" s="23" t="str">
        <x:v>input_key</x:v>
      </x:c>
      <x:c r="C4" s="23" t="str">
        <x:v>string</x:v>
      </x:c>
      <x:c r="D4" s="23" t="str">
        <x:v>—</x:v>
      </x:c>
      <x:c r="E4" s="23" t="str">
        <x:v>Clave exacta esperada en inputs.schema.json.</x:v>
      </x:c>
      <x:c r="F4" s="23" t="str">
        <x:v>verificado</x:v>
      </x:c>
    </x:row>
    <x:row r="5">
      <x:c r="A5" s="23" t="str">
        <x:v>Tablas_CBI</x:v>
      </x:c>
      <x:c r="B5" s="23" t="str">
        <x:v>reverse_scored</x:v>
      </x:c>
      <x:c r="C5" s="23" t="str">
        <x:v>boolean</x:v>
      </x:c>
      <x:c r="D5" s="23" t="str">
        <x:v>—</x:v>
      </x:c>
      <x:c r="E5" s="23" t="str">
        <x:v>True solo para energía familia/amigos.</x:v>
      </x:c>
      <x:c r="F5" s="23" t="str">
        <x:v>verificado</x:v>
      </x:c>
    </x:row>
    <x:row r="6">
      <x:c r="A6" s="23" t="str">
        <x:v>Tablas_Escala</x:v>
      </x:c>
      <x:c r="B6" s="23" t="str">
        <x:v>points</x:v>
      </x:c>
      <x:c r="C6" s="23" t="str">
        <x:v>number</x:v>
      </x:c>
      <x:c r="D6" s="23" t="str">
        <x:v>0-100</x:v>
      </x:c>
      <x:c r="E6" s="23" t="str">
        <x:v>Puntos directos antes de reversión.</x:v>
      </x:c>
      <x:c r="F6" s="23" t="str">
        <x:v>verificado</x:v>
      </x:c>
    </x:row>
    <x:row r="7">
      <x:c r="A7" s="23" t="str">
        <x:v>Tablas_Benchmark</x:v>
      </x:c>
      <x:c r="B7" s="23" t="str">
        <x:v>value</x:v>
      </x:c>
      <x:c r="C7" s="23" t="str">
        <x:v>number</x:v>
      </x:c>
      <x:c r="D7" s="23" t="str">
        <x:v>según fila</x:v>
      </x:c>
      <x:c r="E7" s="23" t="str">
        <x:v>Dato contextual de estudios/validaciones.</x:v>
      </x:c>
      <x:c r="F7" s="23" t="str">
        <x:v>verificado</x:v>
      </x:c>
    </x:row>
    <x:row r="8">
      <x:c r="A8" s="23" t="str">
        <x:v>Tablas_Precios</x:v>
      </x:c>
      <x:c r="B8" s="23" t="str">
        <x:v>ppp_factor_2025</x:v>
      </x:c>
      <x:c r="C8" s="23" t="str">
        <x:v>number</x:v>
      </x:c>
      <x:c r="D8" s="23" t="str">
        <x:v>moneda local por intl$</x:v>
      </x:c>
      <x:c r="E8" s="23" t="str">
        <x:v>PPP consumo privado World Bank.</x:v>
      </x:c>
      <x:c r="F8" s="23" t="str">
        <x:v>verificado</x:v>
      </x:c>
    </x:row>
    <x:row r="9">
      <x:c r="A9" s="23" t="str">
        <x:v>Tablas_Precios</x:v>
      </x:c>
      <x:c r="B9" s="23" t="str">
        <x:v>recommended_price</x:v>
      </x:c>
      <x:c r="C9" s="23" t="str">
        <x:v>number</x:v>
      </x:c>
      <x:c r="D9" s="23" t="str">
        <x:v>moneda local</x:v>
      </x:c>
      <x:c r="E9" s="23" t="str">
        <x:v>Hipótesis comercial; no dato científico.</x:v>
      </x:c>
      <x:c r="F9" s="23" t="str">
        <x:v>preliminar</x:v>
      </x:c>
    </x:row>
    <x:row r="10">
      <x:c r="A10" s="23" t="str">
        <x:v>Motor</x:v>
      </x:c>
      <x:c r="B10" s="23" t="str">
        <x:v>burden_points</x:v>
      </x:c>
      <x:c r="C10" s="23" t="str">
        <x:v>formula</x:v>
      </x:c>
      <x:c r="D10" s="23" t="str">
        <x:v>0-100</x:v>
      </x:c>
      <x:c r="E10" s="23" t="str">
        <x:v>Puntos directos o invertidos del CBI por ítem.</x:v>
      </x:c>
      <x:c r="F10" s="23" t="str">
        <x:v>verificado por fórmula</x:v>
      </x:c>
    </x:row>
    <x:row r="11">
      <x:c r="A11" s="23" t="str">
        <x:v>Casos_Prueba</x:v>
      </x:c>
      <x:c r="B11" s="23" t="str">
        <x:v>expected_*</x:v>
      </x:c>
      <x:c r="C11" s="23" t="str">
        <x:v>number/text</x:v>
      </x:c>
      <x:c r="D11" s="23" t="str">
        <x:v>—</x:v>
      </x:c>
      <x:c r="E11" s="23" t="str">
        <x:v>Outputs generados ejecutando engine_reference.py.</x:v>
      </x:c>
      <x:c r="F11" s="23" t="str">
        <x:v>generado</x:v>
      </x:c>
    </x:row>
    <x:row r="12">
      <x:c r="A12" s="23"/>
      <x:c r="B12" s="23"/>
      <x:c r="C12" s="23"/>
      <x:c r="D12" s="23"/>
      <x:c r="E12" s="23"/>
      <x:c r="F12" s="23"/>
    </x:row>
    <x:row r="13">
      <x:c r="A13" s="23"/>
      <x:c r="B13" s="23"/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3"/>
      <x:c r="B15" s="23"/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58" hidden="0" customWidth="1"/>
    <x:col min="5" max="5" width="24" hidden="0" customWidth="1"/>
    <x:col min="6" max="6" width="16" hidden="0" customWidth="1"/>
  </x:cols>
  <x:sheetData>
    <x:row r="1" ht="24" customHeight="1">
      <x:c r="A1" s="12" t="str">
        <x:v>parametro</x:v>
      </x:c>
      <x:c r="B1" s="12" t="str">
        <x:v>valor</x:v>
      </x:c>
      <x:c r="C1" s="12" t="str">
        <x:v>unidad</x:v>
      </x:c>
      <x:c r="D1" s="12" t="str">
        <x:v>fuente_url</x:v>
      </x:c>
      <x:c r="E1" s="12" t="str">
        <x:v>fecha</x:v>
      </x:c>
      <x:c r="F1" s="12" t="str">
        <x:v>estado</x:v>
      </x:c>
    </x:row>
    <x:row r="2">
      <x:c r="A2" s="23" t="str">
        <x:v>response_step</x:v>
      </x:c>
      <x:c r="B2" s="23" t="n">
        <x:v>25</x:v>
      </x:c>
      <x:c r="C2" s="23" t="str">
        <x:v>points</x:v>
      </x:c>
      <x:c r="D2" s="23" t="str">
        <x:v>https://nfa.dk/media/a4wheblj/cbi-scales.pdf</x:v>
      </x:c>
      <x:c r="E2" s="23" t="str">
        <x:v>s.f.; consultado 2026-10-06</x:v>
      </x:c>
      <x:c r="F2" s="23" t="str">
        <x:v>verificado</x:v>
      </x:c>
    </x:row>
    <x:row r="3">
      <x:c r="A3" s="23" t="str">
        <x:v>high_reference_cutoff</x:v>
      </x:c>
      <x:c r="B3" s="23" t="n">
        <x:v>50</x:v>
      </x:c>
      <x:c r="C3" s="23" t="str">
        <x:v>points</x:v>
      </x:c>
      <x:c r="D3" s="23" t="str">
        <x:v>https://nfa.dk/media/hl5nbers/cbi-first-edition.pdf</x:v>
      </x:c>
      <x:c r="E3" s="23" t="str">
        <x:v>2004-02</x:v>
      </x:c>
      <x:c r="F3" s="23" t="str">
        <x:v>verificado</x:v>
      </x:c>
    </x:row>
    <x:row r="4">
      <x:c r="A4" s="23" t="str">
        <x:v>puma_work_mean</x:v>
      </x:c>
      <x:c r="B4" s="23" t="n">
        <x:v>33</x:v>
      </x:c>
      <x:c r="C4" s="23" t="str">
        <x:v>points</x:v>
      </x:c>
      <x:c r="D4" s="23" t="str">
        <x:v>https://nfa.dk/media/hl5nbers/cbi-first-edition.pdf</x:v>
      </x:c>
      <x:c r="E4" s="23" t="str">
        <x:v>2004-02</x:v>
      </x:c>
      <x:c r="F4" s="23" t="str">
        <x:v>verificado</x:v>
      </x:c>
    </x:row>
    <x:row r="5">
      <x:c r="A5" s="23" t="str">
        <x:v>puma_work_sd</x:v>
      </x:c>
      <x:c r="B5" s="23" t="n">
        <x:v>17.7</x:v>
      </x:c>
      <x:c r="C5" s="23" t="str">
        <x:v>points</x:v>
      </x:c>
      <x:c r="D5" s="23" t="str">
        <x:v>https://nfa.dk/media/hl5nbers/cbi-first-edition.pdf</x:v>
      </x:c>
      <x:c r="E5" s="23" t="str">
        <x:v>2004-02</x:v>
      </x:c>
      <x:c r="F5" s="23" t="str">
        <x:v>verificado</x:v>
      </x:c>
    </x:row>
    <x:row r="6">
      <x:c r="A6" s="23" t="str">
        <x:v>puma_work_n</x:v>
      </x:c>
      <x:c r="B6" s="23" t="n">
        <x:v>1910</x:v>
      </x:c>
      <x:c r="C6" s="23" t="str">
        <x:v>persons</x:v>
      </x:c>
      <x:c r="D6" s="23" t="str">
        <x:v>https://nfa.dk/media/hl5nbers/cbi-first-edition.pdf</x:v>
      </x:c>
      <x:c r="E6" s="23" t="str">
        <x:v>2004-02</x:v>
      </x:c>
      <x:c r="F6" s="23" t="str">
        <x:v>verificado</x:v>
      </x:c>
    </x:row>
    <x:row r="7">
      <x:c r="A7" s="23" t="str">
        <x:v>puma_high_share</x:v>
      </x:c>
      <x:c r="B7" s="26" t="n">
        <x:v>0.198</x:v>
      </x:c>
      <x:c r="C7" s="23" t="str">
        <x:v>share</x:v>
      </x:c>
      <x:c r="D7" s="23" t="str">
        <x:v>https://nfa.dk/media/hl5nbers/cbi-first-edition.pdf</x:v>
      </x:c>
      <x:c r="E7" s="23" t="str">
        <x:v>2004-02</x:v>
      </x:c>
      <x:c r="F7" s="23" t="str">
        <x:v>verificado</x:v>
      </x:c>
    </x:row>
    <x:row r="8">
      <x:c r="A8" s="23" t="str">
        <x:v>scenario_items_changed</x:v>
      </x:c>
      <x:c r="B8" s="23" t="n">
        <x:v>2</x:v>
      </x:c>
      <x:c r="C8" s="23" t="str">
        <x:v>items</x:v>
      </x:c>
      <x:c r="D8" s="23" t="str">
        <x:v>internal://scenario-assumption-v1</x:v>
      </x:c>
      <x:c r="E8" s="23" t="str">
        <x:v>2026-10-06</x:v>
      </x:c>
      <x:c r="F8" s="23" t="str">
        <x:v>preliminar</x:v>
      </x:c>
    </x:row>
    <x:row r="9">
      <x:c r="A9" s="23"/>
      <x:c r="B9" s="23"/>
      <x:c r="C9" s="23"/>
      <x:c r="D9" s="23"/>
      <x:c r="E9" s="23"/>
      <x:c r="F9" s="23"/>
    </x:row>
    <x:row r="10">
      <x:c r="A10" s="23"/>
      <x:c r="B10" s="23"/>
      <x:c r="C10" s="23"/>
      <x:c r="D10" s="23"/>
      <x:c r="E10" s="23"/>
      <x:c r="F10" s="23"/>
    </x:row>
    <x:row r="11">
      <x:c r="A11" s="23"/>
      <x:c r="B11" s="23"/>
      <x:c r="C11" s="23"/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23"/>
      <x:c r="B13" s="23"/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3"/>
      <x:c r="B15" s="23"/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</x:sheetData>
  <x:conditionalFormatting sqref="F2:F20">
    <x:cfRule type="expression" dxfId="0" priority="1">
      <x:formula>F2="preliminar"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30" hidden="0" customWidth="1"/>
    <x:col min="4" max="4" width="16" hidden="0" customWidth="1"/>
    <x:col min="5" max="5" width="16" hidden="0" customWidth="1"/>
    <x:col min="6" max="6" width="70" hidden="0" customWidth="1"/>
    <x:col min="7" max="7" width="55" hidden="0" customWidth="1"/>
    <x:col min="8" max="8" width="24" hidden="0" customWidth="1"/>
    <x:col min="9" max="9" width="16" hidden="0" customWidth="1"/>
  </x:cols>
  <x:sheetData>
    <x:row r="1" ht="24" customHeight="1">
      <x:c r="A1" s="12" t="str">
        <x:v>item_id</x:v>
      </x:c>
      <x:c r="B1" s="12" t="str">
        <x:v>orden</x:v>
      </x:c>
      <x:c r="C1" s="12" t="str">
        <x:v>input_key</x:v>
      </x:c>
      <x:c r="D1" s="12" t="str">
        <x:v>scale_type</x:v>
      </x:c>
      <x:c r="E1" s="12" t="str">
        <x:v>reverse_scored</x:v>
      </x:c>
      <x:c r="F1" s="12" t="str">
        <x:v>prompt_en_official</x:v>
      </x:c>
      <x:c r="G1" s="12" t="str">
        <x:v>fuente_url</x:v>
      </x:c>
      <x:c r="H1" s="12" t="str">
        <x:v>fecha</x:v>
      </x:c>
      <x:c r="I1" s="12" t="str">
        <x:v>estado</x:v>
      </x:c>
    </x:row>
    <x:row r="2">
      <x:c r="A2" s="23" t="str">
        <x:v>WB1</x:v>
      </x:c>
      <x:c r="B2" s="23" t="n">
        <x:v>1</x:v>
      </x:c>
      <x:c r="C2" s="23" t="str">
        <x:v>emotionally_exhausting</x:v>
      </x:c>
      <x:c r="D2" s="23" t="str">
        <x:v>degree</x:v>
      </x:c>
      <x:c r="E2" s="30" t="b">
        <x:v>0</x:v>
      </x:c>
      <x:c r="F2" s="23" t="str">
        <x:v>Is your work emotionally exhausting?</x:v>
      </x:c>
      <x:c r="G2" s="23" t="str">
        <x:v>https://nfa.dk/media/a4wheblj/cbi-scales.pdf</x:v>
      </x:c>
      <x:c r="H2" s="23" t="str">
        <x:v>s.f.; consultado 2026-10-06</x:v>
      </x:c>
      <x:c r="I2" s="23" t="str">
        <x:v>verificado</x:v>
      </x:c>
    </x:row>
    <x:row r="3">
      <x:c r="A3" s="23" t="str">
        <x:v>WB2</x:v>
      </x:c>
      <x:c r="B3" s="23" t="n">
        <x:v>2</x:v>
      </x:c>
      <x:c r="C3" s="23" t="str">
        <x:v>burned_out_due_work</x:v>
      </x:c>
      <x:c r="D3" s="23" t="str">
        <x:v>degree</x:v>
      </x:c>
      <x:c r="E3" s="30" t="b">
        <x:v>0</x:v>
      </x:c>
      <x:c r="F3" s="23" t="str">
        <x:v>Do you feel burnt out because of your work?</x:v>
      </x:c>
      <x:c r="G3" s="23" t="str">
        <x:v>https://nfa.dk/media/a4wheblj/cbi-scales.pdf</x:v>
      </x:c>
      <x:c r="H3" s="23" t="str">
        <x:v>s.f.; consultado 2026-10-06</x:v>
      </x:c>
      <x:c r="I3" s="23" t="str">
        <x:v>verificado</x:v>
      </x:c>
    </x:row>
    <x:row r="4">
      <x:c r="A4" s="23" t="str">
        <x:v>WB3</x:v>
      </x:c>
      <x:c r="B4" s="23" t="n">
        <x:v>3</x:v>
      </x:c>
      <x:c r="C4" s="23" t="str">
        <x:v>work_frustrates</x:v>
      </x:c>
      <x:c r="D4" s="23" t="str">
        <x:v>degree</x:v>
      </x:c>
      <x:c r="E4" s="30" t="b">
        <x:v>0</x:v>
      </x:c>
      <x:c r="F4" s="23" t="str">
        <x:v>Does your work frustrate you?</x:v>
      </x:c>
      <x:c r="G4" s="23" t="str">
        <x:v>https://nfa.dk/media/a4wheblj/cbi-scales.pdf</x:v>
      </x:c>
      <x:c r="H4" s="23" t="str">
        <x:v>s.f.; consultado 2026-10-06</x:v>
      </x:c>
      <x:c r="I4" s="23" t="str">
        <x:v>verificado</x:v>
      </x:c>
    </x:row>
    <x:row r="5">
      <x:c r="A5" s="23" t="str">
        <x:v>WB4</x:v>
      </x:c>
      <x:c r="B5" s="23" t="n">
        <x:v>4</x:v>
      </x:c>
      <x:c r="C5" s="23" t="str">
        <x:v>worn_out_end_day</x:v>
      </x:c>
      <x:c r="D5" s="23" t="str">
        <x:v>frequency</x:v>
      </x:c>
      <x:c r="E5" s="30" t="b">
        <x:v>0</x:v>
      </x:c>
      <x:c r="F5" s="23" t="str">
        <x:v>Do you feel worn out at the end of the working day?</x:v>
      </x:c>
      <x:c r="G5" s="23" t="str">
        <x:v>https://nfa.dk/media/a4wheblj/cbi-scales.pdf</x:v>
      </x:c>
      <x:c r="H5" s="23" t="str">
        <x:v>s.f.; consultado 2026-10-06</x:v>
      </x:c>
      <x:c r="I5" s="23" t="str">
        <x:v>verificado</x:v>
      </x:c>
    </x:row>
    <x:row r="6">
      <x:c r="A6" s="23" t="str">
        <x:v>WB5</x:v>
      </x:c>
      <x:c r="B6" s="23" t="n">
        <x:v>5</x:v>
      </x:c>
      <x:c r="C6" s="23" t="str">
        <x:v>exhausted_morning</x:v>
      </x:c>
      <x:c r="D6" s="23" t="str">
        <x:v>frequency</x:v>
      </x:c>
      <x:c r="E6" s="30" t="b">
        <x:v>0</x:v>
      </x:c>
      <x:c r="F6" s="23" t="str">
        <x:v>Are you exhausted in the morning at the thought of another day at work?</x:v>
      </x:c>
      <x:c r="G6" s="23" t="str">
        <x:v>https://nfa.dk/media/a4wheblj/cbi-scales.pdf</x:v>
      </x:c>
      <x:c r="H6" s="23" t="str">
        <x:v>s.f.; consultado 2026-10-06</x:v>
      </x:c>
      <x:c r="I6" s="23" t="str">
        <x:v>verificado</x:v>
      </x:c>
    </x:row>
    <x:row r="7">
      <x:c r="A7" s="23" t="str">
        <x:v>WB6</x:v>
      </x:c>
      <x:c r="B7" s="23" t="n">
        <x:v>6</x:v>
      </x:c>
      <x:c r="C7" s="23" t="str">
        <x:v>every_working_hour_tiring</x:v>
      </x:c>
      <x:c r="D7" s="23" t="str">
        <x:v>frequency</x:v>
      </x:c>
      <x:c r="E7" s="30" t="b">
        <x:v>0</x:v>
      </x:c>
      <x:c r="F7" s="23" t="str">
        <x:v>Do you feel that every working hour is tiring for you?</x:v>
      </x:c>
      <x:c r="G7" s="23" t="str">
        <x:v>https://nfa.dk/media/a4wheblj/cbi-scales.pdf</x:v>
      </x:c>
      <x:c r="H7" s="23" t="str">
        <x:v>s.f.; consultado 2026-10-06</x:v>
      </x:c>
      <x:c r="I7" s="23" t="str">
        <x:v>verificado</x:v>
      </x:c>
    </x:row>
    <x:row r="8">
      <x:c r="A8" s="23" t="str">
        <x:v>WB7</x:v>
      </x:c>
      <x:c r="B8" s="23" t="n">
        <x:v>7</x:v>
      </x:c>
      <x:c r="C8" s="23" t="str">
        <x:v>energy_family_friends</x:v>
      </x:c>
      <x:c r="D8" s="23" t="str">
        <x:v>frequency</x:v>
      </x:c>
      <x:c r="E8" s="30" t="b">
        <x:v>1</x:v>
      </x:c>
      <x:c r="F8" s="23" t="str">
        <x:v>Do you have enough energy for family and friends during leisure time?</x:v>
      </x:c>
      <x:c r="G8" s="23" t="str">
        <x:v>https://nfa.dk/media/a4wheblj/cbi-scales.pdf</x:v>
      </x:c>
      <x:c r="H8" s="23" t="str">
        <x:v>s.f.; consultado 2026-10-06</x:v>
      </x:c>
      <x:c r="I8" s="23" t="str">
        <x:v>verificado</x:v>
      </x:c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30" hidden="0" customWidth="1"/>
    <x:col min="5" max="5" width="58" hidden="0" customWidth="1"/>
    <x:col min="6" max="6" width="24" hidden="0" customWidth="1"/>
    <x:col min="7" max="7" width="16" hidden="0" customWidth="1"/>
  </x:cols>
  <x:sheetData>
    <x:row r="1" ht="24" customHeight="1">
      <x:c r="A1" s="12" t="str">
        <x:v>scale_type</x:v>
      </x:c>
      <x:c r="B1" s="12" t="str">
        <x:v>response_key</x:v>
      </x:c>
      <x:c r="C1" s="12" t="str">
        <x:v>points</x:v>
      </x:c>
      <x:c r="D1" s="12" t="str">
        <x:v>official_label_en</x:v>
      </x:c>
      <x:c r="E1" s="12" t="str">
        <x:v>fuente_url</x:v>
      </x:c>
      <x:c r="F1" s="12" t="str">
        <x:v>fecha</x:v>
      </x:c>
      <x:c r="G1" s="12" t="str">
        <x:v>estado</x:v>
      </x:c>
    </x:row>
    <x:row r="2">
      <x:c r="A2" s="23" t="str">
        <x:v>degree</x:v>
      </x:c>
      <x:c r="B2" s="23" t="str">
        <x:v>very_low</x:v>
      </x:c>
      <x:c r="C2" s="23" t="n">
        <x:v>0</x:v>
      </x:c>
      <x:c r="D2" s="23" t="str">
        <x:v>To a very low degree</x:v>
      </x:c>
      <x:c r="E2" s="23" t="str">
        <x:v>https://nfa.dk/media/a4wheblj/cbi-scales.pdf</x:v>
      </x:c>
      <x:c r="F2" s="23" t="str">
        <x:v>s.f.; consultado 2026-10-06</x:v>
      </x:c>
      <x:c r="G2" s="23" t="str">
        <x:v>verificado</x:v>
      </x:c>
    </x:row>
    <x:row r="3">
      <x:c r="A3" s="23" t="str">
        <x:v>degree</x:v>
      </x:c>
      <x:c r="B3" s="23" t="str">
        <x:v>low</x:v>
      </x:c>
      <x:c r="C3" s="23" t="n">
        <x:v>25</x:v>
      </x:c>
      <x:c r="D3" s="23" t="str">
        <x:v>To a low degree</x:v>
      </x:c>
      <x:c r="E3" s="23" t="str">
        <x:v>https://nfa.dk/media/a4wheblj/cbi-scales.pdf</x:v>
      </x:c>
      <x:c r="F3" s="23" t="str">
        <x:v>s.f.; consultado 2026-10-06</x:v>
      </x:c>
      <x:c r="G3" s="23" t="str">
        <x:v>verificado</x:v>
      </x:c>
    </x:row>
    <x:row r="4">
      <x:c r="A4" s="23" t="str">
        <x:v>degree</x:v>
      </x:c>
      <x:c r="B4" s="23" t="str">
        <x:v>somewhat</x:v>
      </x:c>
      <x:c r="C4" s="23" t="n">
        <x:v>50</x:v>
      </x:c>
      <x:c r="D4" s="23" t="str">
        <x:v>Somewhat</x:v>
      </x:c>
      <x:c r="E4" s="23" t="str">
        <x:v>https://nfa.dk/media/a4wheblj/cbi-scales.pdf</x:v>
      </x:c>
      <x:c r="F4" s="23" t="str">
        <x:v>s.f.; consultado 2026-10-06</x:v>
      </x:c>
      <x:c r="G4" s="23" t="str">
        <x:v>verificado</x:v>
      </x:c>
    </x:row>
    <x:row r="5">
      <x:c r="A5" s="23" t="str">
        <x:v>degree</x:v>
      </x:c>
      <x:c r="B5" s="23" t="str">
        <x:v>high</x:v>
      </x:c>
      <x:c r="C5" s="23" t="n">
        <x:v>75</x:v>
      </x:c>
      <x:c r="D5" s="23" t="str">
        <x:v>To a high degree</x:v>
      </x:c>
      <x:c r="E5" s="23" t="str">
        <x:v>https://nfa.dk/media/a4wheblj/cbi-scales.pdf</x:v>
      </x:c>
      <x:c r="F5" s="23" t="str">
        <x:v>s.f.; consultado 2026-10-06</x:v>
      </x:c>
      <x:c r="G5" s="23" t="str">
        <x:v>verificado</x:v>
      </x:c>
    </x:row>
    <x:row r="6">
      <x:c r="A6" s="23" t="str">
        <x:v>degree</x:v>
      </x:c>
      <x:c r="B6" s="23" t="str">
        <x:v>very_high</x:v>
      </x:c>
      <x:c r="C6" s="23" t="n">
        <x:v>100</x:v>
      </x:c>
      <x:c r="D6" s="23" t="str">
        <x:v>To a very high degree</x:v>
      </x:c>
      <x:c r="E6" s="23" t="str">
        <x:v>https://nfa.dk/media/a4wheblj/cbi-scales.pdf</x:v>
      </x:c>
      <x:c r="F6" s="23" t="str">
        <x:v>s.f.; consultado 2026-10-06</x:v>
      </x:c>
      <x:c r="G6" s="23" t="str">
        <x:v>verificado</x:v>
      </x:c>
    </x:row>
    <x:row r="7">
      <x:c r="A7" s="23" t="str">
        <x:v>frequency</x:v>
      </x:c>
      <x:c r="B7" s="23" t="str">
        <x:v>never</x:v>
      </x:c>
      <x:c r="C7" s="23" t="n">
        <x:v>0</x:v>
      </x:c>
      <x:c r="D7" s="23" t="str">
        <x:v>Never / almost never</x:v>
      </x:c>
      <x:c r="E7" s="23" t="str">
        <x:v>https://nfa.dk/media/a4wheblj/cbi-scales.pdf</x:v>
      </x:c>
      <x:c r="F7" s="23" t="str">
        <x:v>s.f.; consultado 2026-10-06</x:v>
      </x:c>
      <x:c r="G7" s="23" t="str">
        <x:v>verificado</x:v>
      </x:c>
    </x:row>
    <x:row r="8">
      <x:c r="A8" s="23" t="str">
        <x:v>frequency</x:v>
      </x:c>
      <x:c r="B8" s="23" t="str">
        <x:v>seldom</x:v>
      </x:c>
      <x:c r="C8" s="23" t="n">
        <x:v>25</x:v>
      </x:c>
      <x:c r="D8" s="23" t="str">
        <x:v>Seldom</x:v>
      </x:c>
      <x:c r="E8" s="23" t="str">
        <x:v>https://nfa.dk/media/a4wheblj/cbi-scales.pdf</x:v>
      </x:c>
      <x:c r="F8" s="23" t="str">
        <x:v>s.f.; consultado 2026-10-06</x:v>
      </x:c>
      <x:c r="G8" s="23" t="str">
        <x:v>verificado</x:v>
      </x:c>
    </x:row>
    <x:row r="9">
      <x:c r="A9" s="23" t="str">
        <x:v>frequency</x:v>
      </x:c>
      <x:c r="B9" s="23" t="str">
        <x:v>sometimes</x:v>
      </x:c>
      <x:c r="C9" s="23" t="n">
        <x:v>50</x:v>
      </x:c>
      <x:c r="D9" s="23" t="str">
        <x:v>Sometimes</x:v>
      </x:c>
      <x:c r="E9" s="23" t="str">
        <x:v>https://nfa.dk/media/a4wheblj/cbi-scales.pdf</x:v>
      </x:c>
      <x:c r="F9" s="23" t="str">
        <x:v>s.f.; consultado 2026-10-06</x:v>
      </x:c>
      <x:c r="G9" s="23" t="str">
        <x:v>verificado</x:v>
      </x:c>
    </x:row>
    <x:row r="10">
      <x:c r="A10" s="23" t="str">
        <x:v>frequency</x:v>
      </x:c>
      <x:c r="B10" s="23" t="str">
        <x:v>often</x:v>
      </x:c>
      <x:c r="C10" s="23" t="n">
        <x:v>75</x:v>
      </x:c>
      <x:c r="D10" s="23" t="str">
        <x:v>Often</x:v>
      </x:c>
      <x:c r="E10" s="23" t="str">
        <x:v>https://nfa.dk/media/a4wheblj/cbi-scales.pdf</x:v>
      </x:c>
      <x:c r="F10" s="23" t="str">
        <x:v>s.f.; consultado 2026-10-06</x:v>
      </x:c>
      <x:c r="G10" s="23" t="str">
        <x:v>verificado</x:v>
      </x:c>
    </x:row>
    <x:row r="11">
      <x:c r="A11" s="23" t="str">
        <x:v>frequency</x:v>
      </x:c>
      <x:c r="B11" s="23" t="str">
        <x:v>always</x:v>
      </x:c>
      <x:c r="C11" s="23" t="n">
        <x:v>100</x:v>
      </x:c>
      <x:c r="D11" s="23" t="str">
        <x:v>Always</x:v>
      </x:c>
      <x:c r="E11" s="23" t="str">
        <x:v>https://nfa.dk/media/a4wheblj/cbi-scales.pdf</x:v>
      </x:c>
      <x:c r="F11" s="23" t="str">
        <x:v>s.f.; consultado 2026-10-06</x:v>
      </x:c>
      <x:c r="G11" s="23" t="str">
        <x:v>verificado</x:v>
      </x:c>
    </x:row>
    <x:row r="12">
      <x:c r="A12" s="23"/>
      <x:c r="B12" s="23"/>
      <x:c r="C12" s="23"/>
      <x:c r="D12" s="23"/>
      <x:c r="E12" s="23"/>
      <x:c r="F12" s="23"/>
      <x:c r="G12" s="23"/>
    </x:row>
    <x:row r="13">
      <x:c r="A13" s="23"/>
      <x:c r="B13" s="23"/>
      <x:c r="C13" s="23"/>
      <x:c r="D13" s="23"/>
      <x:c r="E13" s="23"/>
      <x:c r="F13" s="23"/>
      <x:c r="G13" s="23"/>
    </x:row>
    <x:row r="14">
      <x:c r="A14" s="23"/>
      <x:c r="B14" s="23"/>
      <x:c r="C14" s="23"/>
      <x:c r="D14" s="23"/>
      <x:c r="E14" s="23"/>
      <x:c r="F14" s="23"/>
      <x:c r="G14" s="23"/>
    </x:row>
    <x:row r="15">
      <x:c r="A15" s="23"/>
      <x:c r="B15" s="23"/>
      <x:c r="C15" s="23"/>
      <x:c r="D15" s="23"/>
      <x:c r="E15" s="23"/>
      <x:c r="F15" s="23"/>
      <x:c r="G15" s="23"/>
    </x:row>
    <x:row r="16">
      <x:c r="A16" s="23"/>
      <x:c r="B16" s="23"/>
      <x:c r="C16" s="23"/>
      <x:c r="D16" s="23"/>
      <x:c r="E16" s="23"/>
      <x:c r="F16" s="23"/>
      <x:c r="G16" s="23"/>
    </x:row>
    <x:row r="17">
      <x:c r="A17" s="23"/>
      <x:c r="B17" s="23"/>
      <x:c r="C17" s="23"/>
      <x:c r="D17" s="23"/>
      <x:c r="E17" s="23"/>
      <x:c r="F17" s="23"/>
      <x:c r="G17" s="23"/>
    </x:row>
    <x:row r="18">
      <x:c r="A18" s="23"/>
      <x:c r="B18" s="23"/>
      <x:c r="C18" s="23"/>
      <x:c r="D18" s="23"/>
      <x:c r="E18" s="23"/>
      <x:c r="F18" s="23"/>
      <x:c r="G18" s="23"/>
    </x:row>
    <x:row r="19">
      <x:c r="A19" s="23"/>
      <x:c r="B19" s="23"/>
      <x:c r="C19" s="23"/>
      <x:c r="D19" s="23"/>
      <x:c r="E19" s="23"/>
      <x:c r="F19" s="23"/>
      <x:c r="G19" s="23"/>
    </x:row>
    <x:row r="20">
      <x:c r="A20" s="23"/>
      <x:c r="B20" s="23"/>
      <x:c r="C20" s="23"/>
      <x:c r="D20" s="23"/>
      <x:c r="E20" s="23"/>
      <x:c r="F20" s="23"/>
      <x:c r="G20" s="2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14" hidden="0" customWidth="1"/>
    <x:col min="5" max="5" width="16" hidden="0" customWidth="1"/>
    <x:col min="6" max="6" width="58" hidden="0" customWidth="1"/>
    <x:col min="7" max="7" width="20" hidden="0" customWidth="1"/>
    <x:col min="8" max="8" width="16" hidden="0" customWidth="1"/>
  </x:cols>
  <x:sheetData>
    <x:row r="1" ht="24" customHeight="1">
      <x:c r="A1" s="12" t="str">
        <x:v>metric</x:v>
      </x:c>
      <x:c r="B1" s="12" t="str">
        <x:v>segment</x:v>
      </x:c>
      <x:c r="C1" s="12" t="str">
        <x:v>statistic</x:v>
      </x:c>
      <x:c r="D1" s="12" t="str">
        <x:v>value</x:v>
      </x:c>
      <x:c r="E1" s="12" t="str">
        <x:v>unit</x:v>
      </x:c>
      <x:c r="F1" s="12" t="str">
        <x:v>source_url</x:v>
      </x:c>
      <x:c r="G1" s="12" t="str">
        <x:v>fecha</x:v>
      </x:c>
      <x:c r="H1" s="12" t="str">
        <x:v>estado</x:v>
      </x:c>
    </x:row>
    <x:row r="2">
      <x:c r="A2" s="23" t="str">
        <x:v>puma_work_mean</x:v>
      </x:c>
      <x:c r="B2" s="23" t="str">
        <x:v>PUMA human-service workers</x:v>
      </x:c>
      <x:c r="C2" s="23" t="str">
        <x:v>mean</x:v>
      </x:c>
      <x:c r="D2" s="23" t="n">
        <x:v>33</x:v>
      </x:c>
      <x:c r="E2" s="23" t="str">
        <x:v>points</x:v>
      </x:c>
      <x:c r="F2" s="23" t="str">
        <x:v>https://nfa.dk/media/hl5nbers/cbi-first-edition.pdf</x:v>
      </x:c>
      <x:c r="G2" s="23" t="str">
        <x:v>2004-02</x:v>
      </x:c>
      <x:c r="H2" s="23" t="str">
        <x:v>verificado</x:v>
      </x:c>
    </x:row>
    <x:row r="3">
      <x:c r="A3" s="23" t="str">
        <x:v>puma_work_sd</x:v>
      </x:c>
      <x:c r="B3" s="23" t="str">
        <x:v>PUMA human-service workers</x:v>
      </x:c>
      <x:c r="C3" s="23" t="str">
        <x:v>standard_deviation</x:v>
      </x:c>
      <x:c r="D3" s="23" t="n">
        <x:v>17.7</x:v>
      </x:c>
      <x:c r="E3" s="23" t="str">
        <x:v>points</x:v>
      </x:c>
      <x:c r="F3" s="23" t="str">
        <x:v>https://nfa.dk/media/hl5nbers/cbi-first-edition.pdf</x:v>
      </x:c>
      <x:c r="G3" s="23" t="str">
        <x:v>2004-02</x:v>
      </x:c>
      <x:c r="H3" s="23" t="str">
        <x:v>verificado</x:v>
      </x:c>
    </x:row>
    <x:row r="4">
      <x:c r="A4" s="23" t="str">
        <x:v>puma_work_n</x:v>
      </x:c>
      <x:c r="B4" s="23" t="str">
        <x:v>PUMA human-service workers</x:v>
      </x:c>
      <x:c r="C4" s="23" t="str">
        <x:v>sample_size</x:v>
      </x:c>
      <x:c r="D4" s="23" t="n">
        <x:v>1910</x:v>
      </x:c>
      <x:c r="E4" s="23" t="str">
        <x:v>persons</x:v>
      </x:c>
      <x:c r="F4" s="23" t="str">
        <x:v>https://nfa.dk/media/hl5nbers/cbi-first-edition.pdf</x:v>
      </x:c>
      <x:c r="G4" s="23" t="str">
        <x:v>2004-02</x:v>
      </x:c>
      <x:c r="H4" s="23" t="str">
        <x:v>verificado</x:v>
      </x:c>
    </x:row>
    <x:row r="5">
      <x:c r="A5" s="23" t="str">
        <x:v>puma_high_share</x:v>
      </x:c>
      <x:c r="B5" s="23" t="str">
        <x:v>PUMA human-service workers</x:v>
      </x:c>
      <x:c r="C5" s="23" t="str">
        <x:v>share_score_ge_50</x:v>
      </x:c>
      <x:c r="D5" s="26" t="n">
        <x:v>0.198</x:v>
      </x:c>
      <x:c r="E5" s="23" t="str">
        <x:v>share</x:v>
      </x:c>
      <x:c r="F5" s="23" t="str">
        <x:v>https://nfa.dk/media/hl5nbers/cbi-first-edition.pdf</x:v>
      </x:c>
      <x:c r="G5" s="23" t="str">
        <x:v>2004-02</x:v>
      </x:c>
      <x:c r="H5" s="23" t="str">
        <x:v>verificado</x:v>
      </x:c>
    </x:row>
    <x:row r="6">
      <x:c r="A6" s="23" t="str">
        <x:v>puma_work_alpha</x:v>
      </x:c>
      <x:c r="B6" s="23" t="str">
        <x:v>PUMA human-service workers</x:v>
      </x:c>
      <x:c r="C6" s="23" t="str">
        <x:v>cronbach_alpha</x:v>
      </x:c>
      <x:c r="D6" s="42" t="n">
        <x:v>0.87</x:v>
      </x:c>
      <x:c r="E6" s="23" t="str">
        <x:v>coefficient</x:v>
      </x:c>
      <x:c r="F6" s="23" t="str">
        <x:v>https://nfa.dk/media/hl5nbers/cbi-first-edition.pdf</x:v>
      </x:c>
      <x:c r="G6" s="23" t="str">
        <x:v>2004-02</x:v>
      </x:c>
      <x:c r="H6" s="23" t="str">
        <x:v>verificado</x:v>
      </x:c>
    </x:row>
    <x:row r="7">
      <x:c r="A7" s="23" t="str">
        <x:v>spain_work_alpha</x:v>
      </x:c>
      <x:c r="B7" s="23" t="str">
        <x:v>Spanish workers</x:v>
      </x:c>
      <x:c r="C7" s="23" t="str">
        <x:v>cronbach_alpha</x:v>
      </x:c>
      <x:c r="D7" s="42" t="n">
        <x:v>0.83</x:v>
      </x:c>
      <x:c r="E7" s="23" t="str">
        <x:v>coefficient</x:v>
      </x:c>
      <x:c r="F7" s="23" t="str">
        <x:v>https://scielo.isciii.es/scielo.php?lng=es&amp;nrm=iso&amp;pid=S1135-57272013000200006&amp;script=sci_arttext</x:v>
      </x:c>
      <x:c r="G7" s="23" t="str">
        <x:v>2013</x:v>
      </x:c>
      <x:c r="H7" s="23" t="str">
        <x:v>verificado</x:v>
      </x:c>
    </x:row>
    <x:row r="8">
      <x:c r="A8" s="23" t="str">
        <x:v>brazil_work_alpha</x:v>
      </x:c>
      <x:c r="B8" s="23" t="str">
        <x:v>Brazilian healthcare workers</x:v>
      </x:c>
      <x:c r="C8" s="23" t="str">
        <x:v>cronbach_alpha</x:v>
      </x:c>
      <x:c r="D8" s="42" t="n">
        <x:v>0.891</x:v>
      </x:c>
      <x:c r="E8" s="23" t="str">
        <x:v>coefficient</x:v>
      </x:c>
      <x:c r="F8" s="23" t="str">
        <x:v>https://pmc.ncbi.nlm.nih.gov/articles/PMC10416248/</x:v>
      </x:c>
      <x:c r="G8" s="23" t="str">
        <x:v>2023</x:v>
      </x:c>
      <x:c r="H8" s="23" t="str">
        <x:v>verificado</x:v>
      </x:c>
    </x:row>
    <x:row r="9">
      <x:c r="A9" s="23"/>
      <x:c r="B9" s="23"/>
      <x:c r="C9" s="23"/>
      <x:c r="D9" s="23"/>
      <x:c r="E9" s="23"/>
      <x:c r="F9" s="23"/>
      <x:c r="G9" s="23"/>
      <x:c r="H9" s="23"/>
    </x:row>
    <x:row r="10">
      <x:c r="A10" s="23"/>
      <x:c r="B10" s="23"/>
      <x:c r="C10" s="23"/>
      <x:c r="D10" s="23"/>
      <x:c r="E10" s="23"/>
      <x:c r="F10" s="23"/>
      <x:c r="G10" s="23"/>
      <x:c r="H10" s="23"/>
    </x:row>
    <x:row r="11">
      <x:c r="A11" s="23"/>
      <x:c r="B11" s="23"/>
      <x:c r="C11" s="23"/>
      <x:c r="D11" s="23"/>
      <x:c r="E11" s="23"/>
      <x:c r="F11" s="23"/>
      <x:c r="G11" s="23"/>
      <x:c r="H11" s="23"/>
    </x:row>
    <x:row r="12">
      <x:c r="A12" s="23"/>
      <x:c r="B12" s="23"/>
      <x:c r="C12" s="23"/>
      <x:c r="D12" s="23"/>
      <x:c r="E12" s="23"/>
      <x:c r="F12" s="23"/>
      <x:c r="G12" s="23"/>
      <x:c r="H12" s="23"/>
    </x:row>
    <x:row r="13">
      <x:c r="A13" s="23"/>
      <x:c r="B13" s="23"/>
      <x:c r="C13" s="23"/>
      <x:c r="D13" s="23"/>
      <x:c r="E13" s="23"/>
      <x:c r="F13" s="23"/>
      <x:c r="G13" s="23"/>
      <x:c r="H13" s="23"/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2" hidden="0" customWidth="1"/>
    <x:col min="4" max="4" width="18" hidden="0" customWidth="1"/>
    <x:col min="5" max="5" width="14" hidden="0" customWidth="1"/>
    <x:col min="6" max="6" width="20" hidden="0" customWidth="1"/>
    <x:col min="7" max="7" width="52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4" customHeight="1">
      <x:c r="A1" s="12" t="str">
        <x:v>country</x:v>
      </x:c>
      <x:c r="B1" s="12" t="str">
        <x:v>country_name</x:v>
      </x:c>
      <x:c r="C1" s="12" t="str">
        <x:v>currency</x:v>
      </x:c>
      <x:c r="D1" s="12" t="str">
        <x:v>ppp_factor_2025</x:v>
      </x:c>
      <x:c r="E1" s="12" t="str">
        <x:v>ppp_raw</x:v>
      </x:c>
      <x:c r="F1" s="12" t="str">
        <x:v>recommended_price</x:v>
      </x:c>
      <x:c r="G1" s="12" t="str">
        <x:v>source_url</x:v>
      </x:c>
      <x:c r="H1" s="12" t="str">
        <x:v>fecha</x:v>
      </x:c>
      <x:c r="I1" s="12" t="str">
        <x:v>ppp_estado</x:v>
      </x:c>
      <x:c r="J1" s="12" t="str">
        <x:v>price_status</x:v>
      </x:c>
      <x:c r="K1" s="12" t="str">
        <x:v>estado</x:v>
      </x:c>
    </x:row>
    <x:row r="2">
      <x:c r="A2" s="23" t="str">
        <x:v>US</x:v>
      </x:c>
      <x:c r="B2" s="23" t="str">
        <x:v>United States</x:v>
      </x:c>
      <x:c r="C2" s="23" t="str">
        <x:v>USD</x:v>
      </x:c>
      <x:c r="D2" s="23" t="n">
        <x:v>1</x:v>
      </x:c>
      <x:c r="E2" s="23" t="n">
        <x:v>9.9</x:v>
      </x:c>
      <x:c r="F2" s="23" t="n">
        <x:v>9.9</x:v>
      </x:c>
      <x:c r="G2" s="23" t="str">
        <x:v>https://data.worldbank.org/indicator/PA.NUS.PRVT.PP</x:v>
      </x:c>
      <x:c r="H2" s="23" t="str">
        <x:v>2025; consultado 2026-10-06</x:v>
      </x:c>
      <x:c r="I2" s="23" t="str">
        <x:v>verificado</x:v>
      </x:c>
      <x:c r="J2" s="23" t="str">
        <x:v>preliminar</x:v>
      </x:c>
      <x:c r="K2" s="23" t="str">
        <x:v>preliminar</x:v>
      </x:c>
    </x:row>
    <x:row r="3">
      <x:c r="A3" s="23" t="str">
        <x:v>GB</x:v>
      </x:c>
      <x:c r="B3" s="23" t="str">
        <x:v>United Kingdom</x:v>
      </x:c>
      <x:c r="C3" s="23" t="str">
        <x:v>GBP</x:v>
      </x:c>
      <x:c r="D3" s="23" t="n">
        <x:v>0.7</x:v>
      </x:c>
      <x:c r="E3" s="23" t="n">
        <x:v>6.93</x:v>
      </x:c>
      <x:c r="F3" s="23" t="n">
        <x:v>6.9</x:v>
      </x:c>
      <x:c r="G3" s="23" t="str">
        <x:v>https://data.worldbank.org/indicator/PA.NUS.PRVT.PP</x:v>
      </x:c>
      <x:c r="H3" s="23" t="str">
        <x:v>2025; consultado 2026-10-06</x:v>
      </x:c>
      <x:c r="I3" s="23" t="str">
        <x:v>verificado</x:v>
      </x:c>
      <x:c r="J3" s="23" t="str">
        <x:v>preliminar</x:v>
      </x:c>
      <x:c r="K3" s="23" t="str">
        <x:v>preliminar</x:v>
      </x:c>
    </x:row>
    <x:row r="4">
      <x:c r="A4" s="23" t="str">
        <x:v>CA</x:v>
      </x:c>
      <x:c r="B4" s="23" t="str">
        <x:v>Canada</x:v>
      </x:c>
      <x:c r="C4" s="23" t="str">
        <x:v>CAD</x:v>
      </x:c>
      <x:c r="D4" s="23" t="n">
        <x:v>1.26</x:v>
      </x:c>
      <x:c r="E4" s="23" t="n">
        <x:v>12.47</x:v>
      </x:c>
      <x:c r="F4" s="23" t="n">
        <x:v>12.9</x:v>
      </x:c>
      <x:c r="G4" s="23" t="str">
        <x:v>https://data.worldbank.org/indicator/PA.NUS.PRVT.PP</x:v>
      </x:c>
      <x:c r="H4" s="23" t="str">
        <x:v>2025; consultado 2026-10-06</x:v>
      </x:c>
      <x:c r="I4" s="23" t="str">
        <x:v>verificado</x:v>
      </x:c>
      <x:c r="J4" s="23" t="str">
        <x:v>preliminar</x:v>
      </x:c>
      <x:c r="K4" s="23" t="str">
        <x:v>preliminar</x:v>
      </x:c>
    </x:row>
    <x:row r="5">
      <x:c r="A5" s="23" t="str">
        <x:v>AU</x:v>
      </x:c>
      <x:c r="B5" s="23" t="str">
        <x:v>Australia</x:v>
      </x:c>
      <x:c r="C5" s="23" t="str">
        <x:v>AUD</x:v>
      </x:c>
      <x:c r="D5" s="23" t="n">
        <x:v>1.46</x:v>
      </x:c>
      <x:c r="E5" s="23" t="n">
        <x:v>14.45</x:v>
      </x:c>
      <x:c r="F5" s="23" t="n">
        <x:v>14.9</x:v>
      </x:c>
      <x:c r="G5" s="23" t="str">
        <x:v>https://data.worldbank.org/indicator/PA.NUS.PRVT.PP</x:v>
      </x:c>
      <x:c r="H5" s="23" t="str">
        <x:v>2025; consultado 2026-10-06</x:v>
      </x:c>
      <x:c r="I5" s="23" t="str">
        <x:v>verificado</x:v>
      </x:c>
      <x:c r="J5" s="23" t="str">
        <x:v>preliminar</x:v>
      </x:c>
      <x:c r="K5" s="23" t="str">
        <x:v>preliminar</x:v>
      </x:c>
    </x:row>
    <x:row r="6">
      <x:c r="A6" s="23" t="str">
        <x:v>BR</x:v>
      </x:c>
      <x:c r="B6" s="23" t="str">
        <x:v>Brazil</x:v>
      </x:c>
      <x:c r="C6" s="23" t="str">
        <x:v>BRL</x:v>
      </x:c>
      <x:c r="D6" s="23" t="n">
        <x:v>2.58</x:v>
      </x:c>
      <x:c r="E6" s="23" t="n">
        <x:v>25.54</x:v>
      </x:c>
      <x:c r="F6" s="23" t="n">
        <x:v>25.9</x:v>
      </x:c>
      <x:c r="G6" s="23" t="str">
        <x:v>https://data.worldbank.org/indicator/PA.NUS.PRVT.PP</x:v>
      </x:c>
      <x:c r="H6" s="23" t="str">
        <x:v>2025; consultado 2026-10-06</x:v>
      </x:c>
      <x:c r="I6" s="23" t="str">
        <x:v>verificado</x:v>
      </x:c>
      <x:c r="J6" s="23" t="str">
        <x:v>preliminar</x:v>
      </x:c>
      <x:c r="K6" s="23" t="str">
        <x:v>preliminar</x:v>
      </x:c>
    </x:row>
    <x:row r="7">
      <x:c r="A7" s="23" t="str">
        <x:v>MX</x:v>
      </x:c>
      <x:c r="B7" s="23" t="str">
        <x:v>Mexico</x:v>
      </x:c>
      <x:c r="C7" s="23" t="str">
        <x:v>MXN</x:v>
      </x:c>
      <x:c r="D7" s="23" t="n">
        <x:v>11.31</x:v>
      </x:c>
      <x:c r="E7" s="23" t="n">
        <x:v>111.97</x:v>
      </x:c>
      <x:c r="F7" s="23" t="n">
        <x:v>109</x:v>
      </x:c>
      <x:c r="G7" s="23" t="str">
        <x:v>https://data.worldbank.org/indicator/PA.NUS.PRVT.PP</x:v>
      </x:c>
      <x:c r="H7" s="23" t="str">
        <x:v>2025; consultado 2026-10-06</x:v>
      </x:c>
      <x:c r="I7" s="23" t="str">
        <x:v>verificado</x:v>
      </x:c>
      <x:c r="J7" s="23" t="str">
        <x:v>preliminar</x:v>
      </x:c>
      <x:c r="K7" s="23" t="str">
        <x:v>preliminar</x:v>
      </x:c>
    </x:row>
    <x:row r="8">
      <x:c r="A8" s="23" t="str">
        <x:v>ES</x:v>
      </x:c>
      <x:c r="B8" s="23" t="str">
        <x:v>Spain</x:v>
      </x:c>
      <x:c r="C8" s="23" t="str">
        <x:v>EUR</x:v>
      </x:c>
      <x:c r="D8" s="23" t="n">
        <x:v>0.61</x:v>
      </x:c>
      <x:c r="E8" s="23" t="n">
        <x:v>6.04</x:v>
      </x:c>
      <x:c r="F8" s="23" t="n">
        <x:v>5.9</x:v>
      </x:c>
      <x:c r="G8" s="23" t="str">
        <x:v>https://data.worldbank.org/indicator/PA.NUS.PRVT.PP</x:v>
      </x:c>
      <x:c r="H8" s="23" t="str">
        <x:v>2025; consultado 2026-10-06</x:v>
      </x:c>
      <x:c r="I8" s="23" t="str">
        <x:v>verificado</x:v>
      </x:c>
      <x:c r="J8" s="23" t="str">
        <x:v>preliminar</x:v>
      </x:c>
      <x:c r="K8" s="23" t="str">
        <x:v>preliminar</x:v>
      </x:c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</x:row>
  </x:sheetData>
  <x:conditionalFormatting sqref="J2:K20">
    <x:cfRule type="expression" dxfId="1" priority="1">
      <x:formula>J2="preliminar"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70" hidden="0" customWidth="1"/>
    <x:col min="4" max="4" width="52" hidden="0" customWidth="1"/>
    <x:col min="5" max="5" width="26" hidden="0" customWidth="1"/>
    <x:col min="6" max="6" width="16" hidden="0" customWidth="1"/>
  </x:cols>
  <x:sheetData>
    <x:row r="1" ht="24" customHeight="1">
      <x:c r="A1" s="12" t="str">
        <x:v>id</x:v>
      </x:c>
      <x:c r="B1" s="12" t="str">
        <x:v>dato</x:v>
      </x:c>
      <x:c r="C1" s="12" t="str">
        <x:v>url</x:v>
      </x:c>
      <x:c r="D1" s="12" t="str">
        <x:v>licencia</x:v>
      </x:c>
      <x:c r="E1" s="12" t="str">
        <x:v>fecha</x:v>
      </x:c>
      <x:c r="F1" s="12" t="str">
        <x:v>estado</x:v>
      </x:c>
    </x:row>
    <x:row r="2">
      <x:c r="A2" s="23" t="str">
        <x:v>SRC_CBI_NFA_PAGE</x:v>
      </x:c>
      <x:c r="B2" s="23" t="str">
        <x:v>Página oficial NFA del Copenhagen Burnout Inventory (CBI) y proyecto PUMA</x:v>
      </x:c>
      <x:c r="C2" s="23" t="str">
        <x:v>https://nfa.dk/vaerktoejer/spoergeskemaer/spoergeskema-til-maaling-af-udbraendthed-cbi/copenhagen-burnout-inventory-cbi</x:v>
      </x:c>
      <x:c r="D2" s="23" t="str">
        <x:v>Instrumento descrito en literatura revisada como dominio público; página oficial NFA</x:v>
      </x:c>
      <x:c r="E2" s="23" t="str">
        <x:v>2026-01-29</x:v>
      </x:c>
      <x:c r="F2" s="23" t="str">
        <x:v>verificado</x:v>
      </x:c>
    </x:row>
    <x:row r="3">
      <x:c r="A3" s="23" t="str">
        <x:v>SRC_CBI_NFA_PDF</x:v>
      </x:c>
      <x:c r="B3" s="23" t="str">
        <x:v>CBI original en inglés; 7 ítems de work-related burnout; scoring 0/25/50/75/100 y reversión del ítem 7</x:v>
      </x:c>
      <x:c r="C3" s="23" t="str">
        <x:v>https://nfa.dk/media/a4wheblj/cbi-scales.pdf</x:v>
      </x:c>
      <x:c r="D3" s="23" t="str">
        <x:v>Instrumento descrito en literatura revisada como dominio público; PDF oficial NFA</x:v>
      </x:c>
      <x:c r="E3" s="23" t="str">
        <x:v>s.f.; consultado 2026-10-06</x:v>
      </x:c>
      <x:c r="F3" s="23" t="str">
        <x:v>verificado</x:v>
      </x:c>
    </x:row>
    <x:row r="4">
      <x:c r="A4" s="23" t="str">
        <x:v>SRC_CBI_NFA_NORMS</x:v>
      </x:c>
      <x:c r="B4" s="23" t="str">
        <x:v>Normas PUMA: work burnout media 33.0, SD 17.7, N 1910; 19.8% &gt;=50; alpha 0.87</x:v>
      </x:c>
      <x:c r="C4" s="23" t="str">
        <x:v>https://nfa.dk/media/hl5nbers/cbi-first-edition.pdf</x:v>
      </x:c>
      <x:c r="D4" s="23" t="str">
        <x:v>Instrumento descrito en literatura revisada como dominio público; PDF oficial NFA</x:v>
      </x:c>
      <x:c r="E4" s="23" t="str">
        <x:v>2004-02</x:v>
      </x:c>
      <x:c r="F4" s="23" t="str">
        <x:v>verificado</x:v>
      </x:c>
    </x:row>
    <x:row r="5">
      <x:c r="A5" s="23" t="str">
        <x:v>SRC_CBI_ORIGINAL</x:v>
      </x:c>
      <x:c r="B5" s="23" t="str">
        <x:v>Artículo original CBI: Kristensen et al., Work &amp; Stress 2005</x:v>
      </x:c>
      <x:c r="C5" s="23" t="str">
        <x:v>https://doi.org/10.1080/02678370500297720</x:v>
      </x:c>
      <x:c r="D5" s="23" t="str">
        <x:v>Artículo con copyright editorial; hechos/metodología citables. Instrumento CBI reportado como dominio público por literatura posterior.</x:v>
      </x:c>
      <x:c r="E5" s="23" t="str">
        <x:v>2005</x:v>
      </x:c>
      <x:c r="F5" s="23" t="str">
        <x:v>verificado</x:v>
      </x:c>
    </x:row>
    <x:row r="6">
      <x:c r="A6" s="23" t="str">
        <x:v>SRC_PUMA_LONG</x:v>
      </x:c>
      <x:c r="B6" s="23" t="str">
        <x:v>PUMA prospectivo a 3 años; 952 participantes prospectivos; asociaciones de características psicosociales con burnout</x:v>
      </x:c>
      <x:c r="C6" s="23" t="str">
        <x:v>https://pubmed.ncbi.nlm.nih.gov/16217242/</x:v>
      </x:c>
      <x:c r="D6" s="23" t="str">
        <x:v>Abstract PubMed; uso como evidencia, no se redistribuye dataset</x:v>
      </x:c>
      <x:c r="E6" s="23" t="str">
        <x:v>2005-10</x:v>
      </x:c>
      <x:c r="F6" s="23" t="str">
        <x:v>verificado</x:v>
      </x:c>
    </x:row>
    <x:row r="7">
      <x:c r="A7" s="23" t="str">
        <x:v>SRC_CBI_ES</x:v>
      </x:c>
      <x:c r="B7" s="23" t="str">
        <x:v>Validación española del CBI; WB alpha 0.83; CBI declarado de dominio público</x:v>
      </x:c>
      <x:c r="C7" s="23" t="str">
        <x:v>https://scielo.isciii.es/scielo.php?lng=es&amp;nrm=iso&amp;pid=S1135-57272013000200006&amp;script=sci_arttext</x:v>
      </x:c>
      <x:c r="D7" s="23" t="str">
        <x:v>Artículo abierto; CBI descrito como dominio público</x:v>
      </x:c>
      <x:c r="E7" s="23" t="str">
        <x:v>2013</x:v>
      </x:c>
      <x:c r="F7" s="23" t="str">
        <x:v>verificado</x:v>
      </x:c>
    </x:row>
    <x:row r="8">
      <x:c r="A8" s="23" t="str">
        <x:v>SRC_CBI_PTBR</x:v>
      </x:c>
      <x:c r="B8" s="23" t="str">
        <x:v>Validación brasileña portuguesa del CBI en profesionales de salud; WB alpha 0.8910</x:v>
      </x:c>
      <x:c r="C8" s="23" t="str">
        <x:v>https://pmc.ncbi.nlm.nih.gov/articles/PMC10416248/</x:v>
      </x:c>
      <x:c r="D8" s="23" t="str">
        <x:v>Artículo open access; CBI descrito como herramienta de dominio público</x:v>
      </x:c>
      <x:c r="E8" s="23" t="str">
        <x:v>2023</x:v>
      </x:c>
      <x:c r="F8" s="23" t="str">
        <x:v>verificado</x:v>
      </x:c>
    </x:row>
    <x:row r="9">
      <x:c r="A9" s="23" t="str">
        <x:v>SRC_CBI_ABBR</x:v>
      </x:c>
      <x:c r="B9" s="23" t="str">
        <x:v>CBI abreviado 6 ítems, 2 factores; validado en residentes de medicina de emergencia</x:v>
      </x:c>
      <x:c r="C9" s="23" t="str">
        <x:v>https://pubmed.ncbi.nlm.nih.gov/35949274/</x:v>
      </x:c>
      <x:c r="D9" s="23" t="str">
        <x:v>Artículo CC BY-NC-ND 4.0; solo evidencia. No se reutiliza el artículo como activo comercial.</x:v>
      </x:c>
      <x:c r="E9" s="23" t="str">
        <x:v>2022-08-08</x:v>
      </x:c>
      <x:c r="F9" s="23" t="str">
        <x:v>verificado</x:v>
      </x:c>
    </x:row>
    <x:row r="10">
      <x:c r="A10" s="23" t="str">
        <x:v>SRC_WHO_BURNOUT</x:v>
      </x:c>
      <x:c r="B10" s="23" t="str">
        <x:v>OMS: burnout es fenómeno ocupacional, no condición médica</x:v>
      </x:c>
      <x:c r="C10" s="23" t="str">
        <x:v>https://www.who.int/standards/classifications/frequently-asked-questions/burn-out-an-occupational-phenomenon</x:v>
      </x:c>
      <x:c r="D10" s="23" t="str">
        <x:v>Contenido WHO; uso de hechos/cita breve con atribución</x:v>
      </x:c>
      <x:c r="E10" s="23" t="str">
        <x:v>2019; vigente</x:v>
      </x:c>
      <x:c r="F10" s="23" t="str">
        <x:v>verificado</x:v>
      </x:c>
    </x:row>
    <x:row r="11">
      <x:c r="A11" s="23" t="str">
        <x:v>SRC_WHO_ILO_HOURS</x:v>
      </x:c>
      <x:c r="B11" s="23" t="str">
        <x:v>OMS/OIT: &gt;=55 h/semana es exposición de largas jornadas asociada a riesgo cardiovascular</x:v>
      </x:c>
      <x:c r="C11" s="23" t="str">
        <x:v>https://www.who.int/news/item/17-05-2021-long-working-hours-increasing-deaths-from-heart-disease-and-stroke-who-ilo</x:v>
      </x:c>
      <x:c r="D11" s="23" t="str">
        <x:v>Contenido institucional; uso de hechos con atribución</x:v>
      </x:c>
      <x:c r="E11" s="23" t="str">
        <x:v>2021-05-17</x:v>
      </x:c>
      <x:c r="F11" s="23" t="str">
        <x:v>verificado</x:v>
      </x:c>
    </x:row>
    <x:row r="12">
      <x:c r="A12" s="23" t="str">
        <x:v>SRC_CDC_SLEEP</x:v>
      </x:c>
      <x:c r="B12" s="23" t="str">
        <x:v>CDC: adultos 18-60, 7 o más horas de sueño</x:v>
      </x:c>
      <x:c r="C12" s="23" t="str">
        <x:v>https://www.cdc.gov/sleep/about/</x:v>
      </x:c>
      <x:c r="D12" s="23" t="str">
        <x:v>Información pública de agencia de EE. UU.; uso factual con atribución</x:v>
      </x:c>
      <x:c r="E12" s="23" t="str">
        <x:v>2024-05-15</x:v>
      </x:c>
      <x:c r="F12" s="23" t="str">
        <x:v>verificado</x:v>
      </x:c>
    </x:row>
    <x:row r="13">
      <x:c r="A13" s="23" t="str">
        <x:v>SRC_HF_SYNTH</x:v>
      </x:c>
      <x:c r="B13" s="23" t="str">
        <x:v>Dataset Hugging Face burnout/turnover 850k, sintético; licencia no comercial</x:v>
      </x:c>
      <x:c r="C13" s="23" t="str">
        <x:v>https://huggingface.co/datasets/BrotherTony/employee-burnout-turnover-prediction-800k/blob/main/README.md</x:v>
      </x:c>
      <x:c r="D13" s="23" t="str">
        <x:v>CC BY-NC-ND 4.0; NO apta para producto comercial</x:v>
      </x:c>
      <x:c r="E13" s="23" t="str">
        <x:v>2025</x:v>
      </x:c>
      <x:c r="F13" s="23" t="str">
        <x:v>verificado</x:v>
      </x:c>
    </x:row>
    <x:row r="14">
      <x:c r="A14" s="23" t="str">
        <x:v>SRC_SVM_2025</x:v>
      </x:c>
      <x:c r="B14" s="23" t="str">
        <x:v>SVM burnout con HackerEarth/Kaggle; R² reportado 0.84; corte transversal</x:v>
      </x:c>
      <x:c r="C14" s="23" t="str">
        <x:v>https://arxiv.org/abs/2510.25509</x:v>
      </x:c>
      <x:c r="D14" s="23" t="str">
        <x:v>Preprint; licencia del dataset subyacente no confirmada para uso comercial</x:v>
      </x:c>
      <x:c r="E14" s="23" t="str">
        <x:v>2025-10-29</x:v>
      </x:c>
      <x:c r="F14" s="23" t="str">
        <x:v>verificado</x:v>
      </x:c>
    </x:row>
    <x:row r="15">
      <x:c r="A15" s="23" t="str">
        <x:v>SRC_GITHUB_ML</x:v>
      </x:c>
      <x:c r="B15" s="23" t="str">
        <x:v>Repositorio ML de burnout, código MIT; procedencia/licencia de dataset no suficiente para producción</x:v>
      </x:c>
      <x:c r="C15" s="23" t="str">
        <x:v>https://github.com/gautham8325/Employee-burnout-prediction-using-Machine-Learning</x:v>
      </x:c>
      <x:c r="D15" s="23" t="str">
        <x:v>MIT para código; dataset requiere verificación separada</x:v>
      </x:c>
      <x:c r="E15" s="23" t="str">
        <x:v>consultado 2026-10-06</x:v>
      </x:c>
      <x:c r="F15" s="23" t="str">
        <x:v>verificado</x:v>
      </x:c>
    </x:row>
    <x:row r="16">
      <x:c r="A16" s="23" t="str">
        <x:v>SRC_HF_ROBERTA</x:v>
      </x:c>
      <x:c r="B16" s="23" t="str">
        <x:v>Modelo RoBERTa/LoRA de clasificación textual de burnout</x:v>
      </x:c>
      <x:c r="C16" s="23" t="str">
        <x:v>https://huggingface.co/Rabbit-bot/FRIDAY-roberta-burnout-lora</x:v>
      </x:c>
      <x:c r="D16" s="23" t="str">
        <x:v>CONFLICTO: metadata Hugging Face indica Apache-2.0, model card declara MIT; no usar en producción hasta resolver.</x:v>
      </x:c>
      <x:c r="E16" s="23" t="str">
        <x:v>consultado 2026-10-06</x:v>
      </x:c>
      <x:c r="F16" s="23" t="str">
        <x:v>no_verificado</x:v>
      </x:c>
    </x:row>
    <x:row r="17">
      <x:c r="A17" s="23" t="str">
        <x:v>SRC_WB_PPP</x:v>
      </x:c>
      <x:c r="B17" s="23" t="str">
        <x:v>PPP private consumption 2025; World Bank WDI; factores auditados US/GB/CA/AU/BR/MX/ES</x:v>
      </x:c>
      <x:c r="C17" s="23" t="str">
        <x:v>https://data.worldbank.org/indicator/PA.NUS.PRVT.PP</x:v>
      </x:c>
      <x:c r="D17" s="23" t="str">
        <x:v>CC BY 4.0</x:v>
      </x:c>
      <x:c r="E17" s="23" t="str">
        <x:v>2025 data; revalidado 2026-10-06</x:v>
      </x:c>
      <x:c r="F17" s="23" t="str">
        <x:v>verificado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</x:cols>
  <x:sheetData>
    <x:row r="1" ht="30" customHeight="1">
      <x:c r="A1" s="4" t="str">
        <x:v>Motor reproducible · ejemplo completo CBI Work-related</x:v>
      </x:c>
      <x:c r="B1" s="4"/>
      <x:c r="C1" s="4"/>
      <x:c r="D1" s="4"/>
      <x:c r="E1" s="4"/>
      <x:c r="F1" s="4"/>
      <x:c r="G1" s="4"/>
      <x:c r="H1" s="4"/>
    </x:row>
    <x:row r="3">
      <x:c r="A3" s="34" t="str">
        <x:v>Cambia response_key para explorar un caso. El escenario modifica hasta 2 ítems elegibles una categoría; no es predicción probabilística.</x:v>
      </x:c>
      <x:c r="B3" s="34"/>
      <x:c r="C3" s="34"/>
      <x:c r="D3" s="34"/>
      <x:c r="E3" s="34"/>
      <x:c r="F3" s="34"/>
      <x:c r="G3" s="34"/>
      <x:c r="H3" s="34"/>
    </x:row>
    <x:row r="5">
      <x:c r="A5" s="12" t="str">
        <x:v>item_id</x:v>
      </x:c>
      <x:c r="B5" s="12" t="str">
        <x:v>scale_type</x:v>
      </x:c>
      <x:c r="C5" s="12" t="str">
        <x:v>response_key</x:v>
      </x:c>
      <x:c r="D5" s="12" t="str">
        <x:v>direct_points</x:v>
      </x:c>
      <x:c r="E5" s="12" t="str">
        <x:v>burden_points</x:v>
      </x:c>
      <x:c r="F5" s="12" t="str">
        <x:v>reverse_scored</x:v>
      </x:c>
      <x:c r="G5" s="12" t="str">
        <x:v>can_improve</x:v>
      </x:c>
      <x:c r="H5" s="12" t="str">
        <x:v>can_worsen</x:v>
      </x:c>
    </x:row>
    <x:row r="6">
      <x:c r="A6" s="23" t="str">
        <x:v>WB1</x:v>
      </x:c>
      <x:c r="B6" s="23" t="str">
        <x:v>degree</x:v>
      </x:c>
      <x:c r="C6" s="23" t="str">
        <x:v>high</x:v>
      </x:c>
      <x:c r="D6" s="23" t="n">
        <x:f>IF(B6="degree",IF(C6="very_low",0,IF(C6="low",1,IF(C6="somewhat",2,IF(C6="high",3,IF(C6="very_high",4,NA()))))),IF(C6="never",0,IF(C6="seldom",1,IF(C6="sometimes",2,IF(C6="often",3,IF(C6="always",4,NA()))))))*Parametros!$B$2</x:f>
        <x:v>75</x:v>
      </x:c>
      <x:c r="E6" s="23" t="n">
        <x:f>IF(F6=TRUE,100-D6,D6)</x:f>
        <x:v>75</x:v>
      </x:c>
      <x:c r="F6" s="30" t="b">
        <x:v>0</x:v>
      </x:c>
      <x:c r="G6" s="23" t="n">
        <x:f>IF(E6&gt;0,1,0)</x:f>
        <x:v>1</x:v>
      </x:c>
      <x:c r="H6" s="23" t="n">
        <x:f>IF(E6&lt;100,1,0)</x:f>
        <x:v>1</x:v>
      </x:c>
    </x:row>
    <x:row r="7">
      <x:c r="A7" s="23" t="str">
        <x:v>WB2</x:v>
      </x:c>
      <x:c r="B7" s="23" t="str">
        <x:v>degree</x:v>
      </x:c>
      <x:c r="C7" s="23" t="str">
        <x:v>somewhat</x:v>
      </x:c>
      <x:c r="D7" s="23" t="n">
        <x:f>IF(B7="degree",IF(C7="very_low",0,IF(C7="low",1,IF(C7="somewhat",2,IF(C7="high",3,IF(C7="very_high",4,NA()))))),IF(C7="never",0,IF(C7="seldom",1,IF(C7="sometimes",2,IF(C7="often",3,IF(C7="always",4,NA()))))))*Parametros!$B$2</x:f>
        <x:v>50</x:v>
      </x:c>
      <x:c r="E7" s="23" t="n">
        <x:f>IF(F7=TRUE,100-D7,D7)</x:f>
        <x:v>50</x:v>
      </x:c>
      <x:c r="F7" s="30" t="b">
        <x:v>0</x:v>
      </x:c>
      <x:c r="G7" s="23" t="n">
        <x:f>IF(E7&gt;0,1,0)</x:f>
        <x:v>1</x:v>
      </x:c>
      <x:c r="H7" s="23" t="n">
        <x:f>IF(E7&lt;100,1,0)</x:f>
        <x:v>1</x:v>
      </x:c>
    </x:row>
    <x:row r="8">
      <x:c r="A8" s="23" t="str">
        <x:v>WB3</x:v>
      </x:c>
      <x:c r="B8" s="23" t="str">
        <x:v>degree</x:v>
      </x:c>
      <x:c r="C8" s="23" t="str">
        <x:v>somewhat</x:v>
      </x:c>
      <x:c r="D8" s="23" t="n">
        <x:f>IF(B8="degree",IF(C8="very_low",0,IF(C8="low",1,IF(C8="somewhat",2,IF(C8="high",3,IF(C8="very_high",4,NA()))))),IF(C8="never",0,IF(C8="seldom",1,IF(C8="sometimes",2,IF(C8="often",3,IF(C8="always",4,NA()))))))*Parametros!$B$2</x:f>
        <x:v>50</x:v>
      </x:c>
      <x:c r="E8" s="23" t="n">
        <x:f>IF(F8=TRUE,100-D8,D8)</x:f>
        <x:v>50</x:v>
      </x:c>
      <x:c r="F8" s="30" t="b">
        <x:v>0</x:v>
      </x:c>
      <x:c r="G8" s="23" t="n">
        <x:f>IF(E8&gt;0,1,0)</x:f>
        <x:v>1</x:v>
      </x:c>
      <x:c r="H8" s="23" t="n">
        <x:f>IF(E8&lt;100,1,0)</x:f>
        <x:v>1</x:v>
      </x:c>
    </x:row>
    <x:row r="9">
      <x:c r="A9" s="23" t="str">
        <x:v>WB4</x:v>
      </x:c>
      <x:c r="B9" s="23" t="str">
        <x:v>frequency</x:v>
      </x:c>
      <x:c r="C9" s="23" t="str">
        <x:v>always</x:v>
      </x:c>
      <x:c r="D9" s="23" t="n">
        <x:f>IF(B9="degree",IF(C9="very_low",0,IF(C9="low",1,IF(C9="somewhat",2,IF(C9="high",3,IF(C9="very_high",4,NA()))))),IF(C9="never",0,IF(C9="seldom",1,IF(C9="sometimes",2,IF(C9="often",3,IF(C9="always",4,NA()))))))*Parametros!$B$2</x:f>
        <x:v>100</x:v>
      </x:c>
      <x:c r="E9" s="23" t="n">
        <x:f>IF(F9=TRUE,100-D9,D9)</x:f>
        <x:v>100</x:v>
      </x:c>
      <x:c r="F9" s="30" t="b">
        <x:v>0</x:v>
      </x:c>
      <x:c r="G9" s="23" t="n">
        <x:f>IF(E9&gt;0,1,0)</x:f>
        <x:v>1</x:v>
      </x:c>
      <x:c r="H9" s="23" t="n">
        <x:f>IF(E9&lt;100,1,0)</x:f>
        <x:v>0</x:v>
      </x:c>
    </x:row>
    <x:row r="10">
      <x:c r="A10" s="23" t="str">
        <x:v>WB5</x:v>
      </x:c>
      <x:c r="B10" s="23" t="str">
        <x:v>frequency</x:v>
      </x:c>
      <x:c r="C10" s="23" t="str">
        <x:v>often</x:v>
      </x:c>
      <x:c r="D10" s="23" t="n">
        <x:f>IF(B10="degree",IF(C10="very_low",0,IF(C10="low",1,IF(C10="somewhat",2,IF(C10="high",3,IF(C10="very_high",4,NA()))))),IF(C10="never",0,IF(C10="seldom",1,IF(C10="sometimes",2,IF(C10="often",3,IF(C10="always",4,NA()))))))*Parametros!$B$2</x:f>
        <x:v>75</x:v>
      </x:c>
      <x:c r="E10" s="23" t="n">
        <x:f>IF(F10=TRUE,100-D10,D10)</x:f>
        <x:v>75</x:v>
      </x:c>
      <x:c r="F10" s="30" t="b">
        <x:v>0</x:v>
      </x:c>
      <x:c r="G10" s="23" t="n">
        <x:f>IF(E10&gt;0,1,0)</x:f>
        <x:v>1</x:v>
      </x:c>
      <x:c r="H10" s="23" t="n">
        <x:f>IF(E10&lt;100,1,0)</x:f>
        <x:v>1</x:v>
      </x:c>
    </x:row>
    <x:row r="11">
      <x:c r="A11" s="23" t="str">
        <x:v>WB6</x:v>
      </x:c>
      <x:c r="B11" s="23" t="str">
        <x:v>frequency</x:v>
      </x:c>
      <x:c r="C11" s="23" t="str">
        <x:v>sometimes</x:v>
      </x:c>
      <x:c r="D11" s="23" t="n">
        <x:f>IF(B11="degree",IF(C11="very_low",0,IF(C11="low",1,IF(C11="somewhat",2,IF(C11="high",3,IF(C11="very_high",4,NA()))))),IF(C11="never",0,IF(C11="seldom",1,IF(C11="sometimes",2,IF(C11="often",3,IF(C11="always",4,NA()))))))*Parametros!$B$2</x:f>
        <x:v>50</x:v>
      </x:c>
      <x:c r="E11" s="23" t="n">
        <x:f>IF(F11=TRUE,100-D11,D11)</x:f>
        <x:v>50</x:v>
      </x:c>
      <x:c r="F11" s="30" t="b">
        <x:v>0</x:v>
      </x:c>
      <x:c r="G11" s="23" t="n">
        <x:f>IF(E11&gt;0,1,0)</x:f>
        <x:v>1</x:v>
      </x:c>
      <x:c r="H11" s="23" t="n">
        <x:f>IF(E11&lt;100,1,0)</x:f>
        <x:v>1</x:v>
      </x:c>
    </x:row>
    <x:row r="12">
      <x:c r="A12" s="23" t="str">
        <x:v>WB7</x:v>
      </x:c>
      <x:c r="B12" s="23" t="str">
        <x:v>frequency</x:v>
      </x:c>
      <x:c r="C12" s="23" t="str">
        <x:v>seldom</x:v>
      </x:c>
      <x:c r="D12" s="23" t="n">
        <x:f>IF(B12="degree",IF(C12="very_low",0,IF(C12="low",1,IF(C12="somewhat",2,IF(C12="high",3,IF(C12="very_high",4,NA()))))),IF(C12="never",0,IF(C12="seldom",1,IF(C12="sometimes",2,IF(C12="often",3,IF(C12="always",4,NA()))))))*Parametros!$B$2</x:f>
        <x:v>25</x:v>
      </x:c>
      <x:c r="E12" s="23" t="n">
        <x:f>IF(F12=TRUE,100-D12,D12)</x:f>
        <x:v>75</x:v>
      </x:c>
      <x:c r="F12" s="30" t="b">
        <x:v>1</x:v>
      </x:c>
      <x:c r="G12" s="23" t="n">
        <x:f>IF(E12&gt;0,1,0)</x:f>
        <x:v>1</x:v>
      </x:c>
      <x:c r="H12" s="23" t="n">
        <x:f>IF(E12&lt;100,1,0)</x:f>
        <x:v>1</x:v>
      </x:c>
    </x:row>
    <x:row r="13">
      <x:c r="A13" s="23"/>
      <x:c r="B13" s="23"/>
      <x:c r="C13" s="23"/>
      <x:c r="D13" s="23"/>
      <x:c r="E13" s="23"/>
      <x:c r="F13" s="23"/>
      <x:c r="G13" s="23"/>
      <x:c r="H13" s="23"/>
    </x:row>
    <x:row r="14">
      <x:c r="A14" s="12" t="str">
        <x:v>Métrica</x:v>
      </x:c>
      <x:c r="B14" s="12" t="str">
        <x:v>Valor</x:v>
      </x:c>
      <x:c r="C14" s="23"/>
      <x:c r="D14" s="12" t="str">
        <x:v>Escenario</x:v>
      </x:c>
      <x:c r="E14" s="12" t="str">
        <x:v>Score</x:v>
      </x:c>
      <x:c r="F14" s="23"/>
      <x:c r="G14" s="23"/>
      <x:c r="H14" s="23"/>
    </x:row>
    <x:row r="15">
      <x:c r="A15" s="23" t="str">
        <x:v>Score actual</x:v>
      </x:c>
      <x:c r="B15" s="38" t="n">
        <x:f>AVERAGE(E6:E12)</x:f>
        <x:v>67.85714285714286</x:v>
      </x:c>
      <x:c r="C15" s="23"/>
      <x:c r="D15" s="23" t="str">
        <x:v>Mejora 30d</x:v>
      </x:c>
      <x:c r="E15" s="38" t="n">
        <x:f>B19</x:f>
        <x:v>60.714285714285715</x:v>
      </x:c>
      <x:c r="F15" s="23"/>
      <x:c r="G15" s="23"/>
      <x:c r="H15" s="23"/>
    </x:row>
    <x:row r="16">
      <x:c r="A16" s="23" t="str">
        <x:v>Banda referencia</x:v>
      </x:c>
      <x:c r="B16" s="38" t="str">
        <x:f>IF(B15&gt;=Parametros!$B$3,"high_reference","below_high_reference")</x:f>
        <x:v>high_reference</x:v>
      </x:c>
      <x:c r="C16" s="23"/>
      <x:c r="D16" s="23" t="str">
        <x:v>Sin cambio</x:v>
      </x:c>
      <x:c r="E16" s="38" t="n">
        <x:f>B20</x:f>
        <x:v>67.85714285714286</x:v>
      </x:c>
      <x:c r="F16" s="23"/>
      <x:c r="G16" s="23"/>
      <x:c r="H16" s="23"/>
    </x:row>
    <x:row r="17">
      <x:c r="A17" s="23" t="str">
        <x:v>Ítems elegibles mejora</x:v>
      </x:c>
      <x:c r="B17" s="38" t="n">
        <x:f>SUM(G6:G12)</x:f>
        <x:v>7</x:v>
      </x:c>
      <x:c r="C17" s="23"/>
      <x:c r="D17" s="23" t="str">
        <x:v>Empeora 30d</x:v>
      </x:c>
      <x:c r="E17" s="38" t="n">
        <x:f>B23</x:f>
        <x:v>75</x:v>
      </x:c>
      <x:c r="F17" s="23"/>
      <x:c r="G17" s="23"/>
      <x:c r="H17" s="23"/>
    </x:row>
    <x:row r="18">
      <x:c r="A18" s="23" t="str">
        <x:v>k mejora</x:v>
      </x:c>
      <x:c r="B18" s="38" t="n">
        <x:f>MIN(Parametros!$B$8,B17)</x:f>
        <x:v>2</x:v>
      </x:c>
      <x:c r="C18" s="23"/>
      <x:c r="D18" s="23"/>
      <x:c r="E18" s="23"/>
      <x:c r="F18" s="23"/>
      <x:c r="G18" s="23"/>
      <x:c r="H18" s="23"/>
    </x:row>
    <x:row r="19">
      <x:c r="A19" s="23" t="str">
        <x:v>Escenario mejora 30d</x:v>
      </x:c>
      <x:c r="B19" s="38" t="n">
        <x:f>MAX(0,B15-B18*Parametros!$B$2/7)</x:f>
        <x:v>60.714285714285715</x:v>
      </x:c>
      <x:c r="C19" s="23"/>
      <x:c r="D19" s="23"/>
      <x:c r="E19" s="23"/>
      <x:c r="F19" s="23"/>
      <x:c r="G19" s="23"/>
      <x:c r="H19" s="23"/>
    </x:row>
    <x:row r="20">
      <x:c r="A20" s="23" t="str">
        <x:v>Escenario sin cambio 30d</x:v>
      </x:c>
      <x:c r="B20" s="38" t="n">
        <x:f>B15</x:f>
        <x:v>67.85714285714286</x:v>
      </x:c>
      <x:c r="C20" s="23"/>
      <x:c r="D20" s="23"/>
      <x:c r="E20" s="23"/>
      <x:c r="F20" s="23"/>
      <x:c r="G20" s="23"/>
      <x:c r="H20" s="23"/>
    </x:row>
    <x:row r="21">
      <x:c r="A21" s="23" t="str">
        <x:v>Ítems elegibles empeora</x:v>
      </x:c>
      <x:c r="B21" s="38" t="n">
        <x:f>SUM(H6:H12)</x:f>
        <x:v>6</x:v>
      </x:c>
      <x:c r="C21" s="23"/>
      <x:c r="D21" s="23"/>
      <x:c r="E21" s="23"/>
      <x:c r="F21" s="23"/>
      <x:c r="G21" s="23"/>
      <x:c r="H21" s="23"/>
    </x:row>
    <x:row r="22">
      <x:c r="A22" s="23" t="str">
        <x:v>k empeora</x:v>
      </x:c>
      <x:c r="B22" s="38" t="n">
        <x:f>MIN(Parametros!$B$8,B21)</x:f>
        <x:v>2</x:v>
      </x:c>
      <x:c r="C22" s="23"/>
      <x:c r="D22" s="23"/>
      <x:c r="E22" s="23"/>
      <x:c r="F22" s="23"/>
      <x:c r="G22" s="23"/>
      <x:c r="H22" s="23"/>
    </x:row>
    <x:row r="23">
      <x:c r="A23" s="23" t="str">
        <x:v>Escenario empeora 30d</x:v>
      </x:c>
      <x:c r="B23" s="38" t="n">
        <x:f>MIN(100,B15+B22*Parametros!$B$2/7)</x:f>
        <x:v>75</x:v>
      </x:c>
      <x:c r="C23" s="23"/>
      <x:c r="D23" s="23"/>
      <x:c r="E23" s="23"/>
      <x:c r="F23" s="23"/>
      <x:c r="G23" s="23"/>
      <x:c r="H23" s="23"/>
    </x:row>
    <x:row r="24">
      <x:c r="A24" s="23" t="str">
        <x:v>Delta vs media PUMA</x:v>
      </x:c>
      <x:c r="B24" s="38" t="n">
        <x:f>B15-Parametros!$B$4</x:f>
        <x:v>34.85714285714286</x:v>
      </x:c>
      <x:c r="C24" s="23"/>
      <x:c r="D24" s="23"/>
      <x:c r="E24" s="23"/>
      <x:c r="F24" s="23"/>
      <x:c r="G24" s="23"/>
      <x:c r="H24" s="23"/>
    </x:row>
    <x:row r="25">
      <x:c r="A25" s="23" t="str">
        <x:v>Sensibilidad 1 ítem/1 categoría</x:v>
      </x:c>
      <x:c r="B25" s="38" t="n">
        <x:f>Parametros!$B$2/7</x:f>
        <x:v>3.5714285714285716</x:v>
      </x:c>
      <x:c r="C25" s="23"/>
      <x:c r="D25" s="23"/>
      <x:c r="E25" s="23"/>
      <x:c r="F25" s="23"/>
      <x:c r="G25" s="23"/>
      <x:c r="H25" s="23"/>
    </x:row>
  </x:sheetData>
  <x:mergeCells>
    <x:mergeCell ref="A1:H1"/>
    <x:mergeCell ref="A3:H3"/>
  </x:mergeCells>
  <x:dataValidations count="2">
    <x:dataValidation type="list" sqref="C6:C8">
      <x:formula1>"very_low,low,somewhat,high,very_high"</x:formula1>
    </x:dataValidation>
    <x:dataValidation type="list" sqref="C9:C12">
      <x:formula1>"never,seldom,sometimes,often,always"</x:formula1>
    </x:dataValidation>
  </x:dataValidations>
  <x:pageMargins left="0.7" right="0.7" top="0.75" bottom="0.75" header="0.3" footer="0.3"/>
  <x:drawing xmlns:r="http://schemas.openxmlformats.org/officeDocument/2006/relationships" r:id="Rd252f5016eb34772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48" hidden="0" customWidth="1"/>
    <x:col min="4" max="4" width="18" hidden="0" customWidth="1"/>
    <x:col min="5" max="5" width="22" hidden="0" customWidth="1"/>
    <x:col min="6" max="6" width="18" hidden="0" customWidth="1"/>
    <x:col min="7" max="7" width="20" hidden="0" customWidth="1"/>
    <x:col min="8" max="8" width="18" hidden="0" customWidth="1"/>
    <x:col min="9" max="9" width="16" hidden="0" customWidth="1"/>
  </x:cols>
  <x:sheetData>
    <x:row r="1" ht="24" customHeight="1">
      <x:c r="A1" s="12" t="str">
        <x:v>case_id</x:v>
      </x:c>
      <x:c r="B1" s="12" t="str">
        <x:v>country</x:v>
      </x:c>
      <x:c r="C1" s="12" t="str">
        <x:v>description</x:v>
      </x:c>
      <x:c r="D1" s="12" t="str">
        <x:v>expected_score</x:v>
      </x:c>
      <x:c r="E1" s="12" t="str">
        <x:v>expected_band</x:v>
      </x:c>
      <x:c r="F1" s="12" t="str">
        <x:v>expected_improve</x:v>
      </x:c>
      <x:c r="G1" s="12" t="str">
        <x:v>expected_no_change</x:v>
      </x:c>
      <x:c r="H1" s="12" t="str">
        <x:v>expected_worsen</x:v>
      </x:c>
      <x:c r="I1" s="12" t="str">
        <x:v>status</x:v>
      </x:c>
    </x:row>
    <x:row r="2">
      <x:c r="A2" s="23" t="str">
        <x:v>T01</x:v>
      </x:c>
      <x:c r="B2" s="23" t="str">
        <x:v>US</x:v>
      </x:c>
      <x:c r="C2" s="23" t="str">
        <x:v>mínimo absoluto; todos los burden=0</x:v>
      </x:c>
      <x:c r="D2" s="40" t="n">
        <x:v>0</x:v>
      </x:c>
      <x:c r="E2" s="40" t="str">
        <x:v>below_high_reference</x:v>
      </x:c>
      <x:c r="F2" s="40" t="n">
        <x:v>0</x:v>
      </x:c>
      <x:c r="G2" s="40" t="n">
        <x:v>0</x:v>
      </x:c>
      <x:c r="H2" s="40" t="n">
        <x:v>7.1429</x:v>
      </x:c>
      <x:c r="I2" s="23" t="str">
        <x:v>pass_generated</x:v>
      </x:c>
    </x:row>
    <x:row r="3">
      <x:c r="A3" s="23" t="str">
        <x:v>T02</x:v>
      </x:c>
      <x:c r="B3" s="23" t="str">
        <x:v>US</x:v>
      </x:c>
      <x:c r="C3" s="23" t="str">
        <x:v>máximo absoluto; todos los burden=100</x:v>
      </x:c>
      <x:c r="D3" s="40" t="n">
        <x:v>100</x:v>
      </x:c>
      <x:c r="E3" s="40" t="str">
        <x:v>high_reference</x:v>
      </x:c>
      <x:c r="F3" s="40" t="n">
        <x:v>92.8571</x:v>
      </x:c>
      <x:c r="G3" s="40" t="n">
        <x:v>100</x:v>
      </x:c>
      <x:c r="H3" s="40" t="n">
        <x:v>100</x:v>
      </x:c>
      <x:c r="I3" s="23" t="str">
        <x:v>pass_generated</x:v>
      </x:c>
    </x:row>
    <x:row r="4">
      <x:c r="A4" s="23" t="str">
        <x:v>T03</x:v>
      </x:c>
      <x:c r="B4" s="23" t="str">
        <x:v>ES</x:v>
      </x:c>
      <x:c r="C4" s="23" t="str">
        <x:v>corte exacto 50; todas las respuestas centrales</x:v>
      </x:c>
      <x:c r="D4" s="40" t="n">
        <x:v>50</x:v>
      </x:c>
      <x:c r="E4" s="40" t="str">
        <x:v>high_reference</x:v>
      </x:c>
      <x:c r="F4" s="40" t="n">
        <x:v>42.8571</x:v>
      </x:c>
      <x:c r="G4" s="40" t="n">
        <x:v>50</x:v>
      </x:c>
      <x:c r="H4" s="40" t="n">
        <x:v>57.1429</x:v>
      </x:c>
      <x:c r="I4" s="23" t="str">
        <x:v>pass_generated</x:v>
      </x:c>
    </x:row>
    <x:row r="5">
      <x:c r="A5" s="23" t="str">
        <x:v>T04</x:v>
      </x:c>
      <x:c r="B5" s="23" t="str">
        <x:v>BR</x:v>
      </x:c>
      <x:c r="C5" s="23" t="str">
        <x:v>un paso por debajo del corte</x:v>
      </x:c>
      <x:c r="D5" s="40" t="n">
        <x:v>46.4286</x:v>
      </x:c>
      <x:c r="E5" s="40" t="str">
        <x:v>below_high_reference</x:v>
      </x:c>
      <x:c r="F5" s="40" t="n">
        <x:v>39.2857</x:v>
      </x:c>
      <x:c r="G5" s="40" t="n">
        <x:v>46.4286</x:v>
      </x:c>
      <x:c r="H5" s="40" t="n">
        <x:v>53.5714</x:v>
      </x:c>
      <x:c r="I5" s="23" t="str">
        <x:v>pass_generated</x:v>
      </x:c>
    </x:row>
    <x:row r="6">
      <x:c r="A6" s="23" t="str">
        <x:v>T05</x:v>
      </x:c>
      <x:c r="B6" s="23" t="str">
        <x:v>GB</x:v>
      </x:c>
      <x:c r="C6" s="23" t="str">
        <x:v>un paso por encima del corte</x:v>
      </x:c>
      <x:c r="D6" s="40" t="n">
        <x:v>53.5714</x:v>
      </x:c>
      <x:c r="E6" s="40" t="str">
        <x:v>high_reference</x:v>
      </x:c>
      <x:c r="F6" s="40" t="n">
        <x:v>46.4286</x:v>
      </x:c>
      <x:c r="G6" s="40" t="n">
        <x:v>53.5714</x:v>
      </x:c>
      <x:c r="H6" s="40" t="n">
        <x:v>60.7143</x:v>
      </x:c>
      <x:c r="I6" s="23" t="str">
        <x:v>pass_generated</x:v>
      </x:c>
    </x:row>
    <x:row r="7">
      <x:c r="A7" s="23" t="str">
        <x:v>T06</x:v>
      </x:c>
      <x:c r="B7" s="23" t="str">
        <x:v>CA</x:v>
      </x:c>
      <x:c r="C7" s="23" t="str">
        <x:v>prueba de reversión: energía 'never' añade 100 de burden</x:v>
      </x:c>
      <x:c r="D7" s="40" t="n">
        <x:v>14.2857</x:v>
      </x:c>
      <x:c r="E7" s="40" t="str">
        <x:v>below_high_reference</x:v>
      </x:c>
      <x:c r="F7" s="40" t="n">
        <x:v>10.7143</x:v>
      </x:c>
      <x:c r="G7" s="40" t="n">
        <x:v>14.2857</x:v>
      </x:c>
      <x:c r="H7" s="40" t="n">
        <x:v>21.4286</x:v>
      </x:c>
      <x:c r="I7" s="23" t="str">
        <x:v>pass_generated</x:v>
      </x:c>
    </x:row>
    <x:row r="8">
      <x:c r="A8" s="23" t="str">
        <x:v>T07</x:v>
      </x:c>
      <x:c r="B8" s="23" t="str">
        <x:v>AU</x:v>
      </x:c>
      <x:c r="C8" s="23" t="str">
        <x:v>un único driver al máximo</x:v>
      </x:c>
      <x:c r="D8" s="40" t="n">
        <x:v>14.2857</x:v>
      </x:c>
      <x:c r="E8" s="40" t="str">
        <x:v>below_high_reference</x:v>
      </x:c>
      <x:c r="F8" s="40" t="n">
        <x:v>10.7143</x:v>
      </x:c>
      <x:c r="G8" s="40" t="n">
        <x:v>14.2857</x:v>
      </x:c>
      <x:c r="H8" s="40" t="n">
        <x:v>21.4286</x:v>
      </x:c>
      <x:c r="I8" s="23" t="str">
        <x:v>pass_generated</x:v>
      </x:c>
    </x:row>
    <x:row r="9">
      <x:c r="A9" s="23" t="str">
        <x:v>T08</x:v>
      </x:c>
      <x:c r="B9" s="23" t="str">
        <x:v>MX</x:v>
      </x:c>
      <x:c r="C9" s="23" t="str">
        <x:v>seis máximos y energía protectora máxima</x:v>
      </x:c>
      <x:c r="D9" s="40" t="n">
        <x:v>85.7143</x:v>
      </x:c>
      <x:c r="E9" s="40" t="str">
        <x:v>high_reference</x:v>
      </x:c>
      <x:c r="F9" s="40" t="n">
        <x:v>78.5714</x:v>
      </x:c>
      <x:c r="G9" s="40" t="n">
        <x:v>85.7143</x:v>
      </x:c>
      <x:c r="H9" s="40" t="n">
        <x:v>89.2857</x:v>
      </x:c>
      <x:c r="I9" s="23" t="str">
        <x:v>pass_generated</x:v>
      </x:c>
    </x:row>
    <x:row r="10">
      <x:c r="A10" s="23" t="str">
        <x:v>T09</x:v>
      </x:c>
      <x:c r="B10" s="23" t="str">
        <x:v>US</x:v>
      </x:c>
      <x:c r="C10" s="23" t="str">
        <x:v>dos drivers en 25; mejora toca piso 0</x:v>
      </x:c>
      <x:c r="D10" s="40" t="n">
        <x:v>7.1429</x:v>
      </x:c>
      <x:c r="E10" s="40" t="str">
        <x:v>below_high_reference</x:v>
      </x:c>
      <x:c r="F10" s="40" t="n">
        <x:v>0</x:v>
      </x:c>
      <x:c r="G10" s="40" t="n">
        <x:v>7.1429</x:v>
      </x:c>
      <x:c r="H10" s="40" t="n">
        <x:v>14.2857</x:v>
      </x:c>
      <x:c r="I10" s="23" t="str">
        <x:v>pass_generated</x:v>
      </x:c>
    </x:row>
    <x:row r="11">
      <x:c r="A11" s="23" t="str">
        <x:v>T10</x:v>
      </x:c>
      <x:c r="B11" s="23" t="str">
        <x:v>ES</x:v>
      </x:c>
      <x:c r="C11" s="23" t="str">
        <x:v>un solo driver en 25; k_improve debe ser 1</x:v>
      </x:c>
      <x:c r="D11" s="40" t="n">
        <x:v>3.5714</x:v>
      </x:c>
      <x:c r="E11" s="40" t="str">
        <x:v>below_high_reference</x:v>
      </x:c>
      <x:c r="F11" s="40" t="n">
        <x:v>0</x:v>
      </x:c>
      <x:c r="G11" s="40" t="n">
        <x:v>3.5714</x:v>
      </x:c>
      <x:c r="H11" s="40" t="n">
        <x:v>10.7143</x:v>
      </x:c>
      <x:c r="I11" s="23" t="str">
        <x:v>pass_generated</x:v>
      </x:c>
    </x:row>
    <x:row r="12">
      <x:c r="A12" s="23" t="str">
        <x:v>T11</x:v>
      </x:c>
      <x:c r="B12" s="23" t="str">
        <x:v>BR</x:v>
      </x:c>
      <x:c r="C12" s="23" t="str">
        <x:v>solo un ítem puede empeorar; k_worsen debe ser 1</x:v>
      </x:c>
      <x:c r="D12" s="40" t="n">
        <x:v>96.4286</x:v>
      </x:c>
      <x:c r="E12" s="40" t="str">
        <x:v>high_reference</x:v>
      </x:c>
      <x:c r="F12" s="40" t="n">
        <x:v>89.2857</x:v>
      </x:c>
      <x:c r="G12" s="40" t="n">
        <x:v>96.4286</x:v>
      </x:c>
      <x:c r="H12" s="40" t="n">
        <x:v>100</x:v>
      </x:c>
      <x:c r="I12" s="23" t="str">
        <x:v>pass_generated</x:v>
      </x:c>
    </x:row>
    <x:row r="13">
      <x:c r="A13" s="23" t="str">
        <x:v>T12</x:v>
      </x:c>
      <x:c r="B13" s="23" t="str">
        <x:v>US</x:v>
      </x:c>
      <x:c r="C13" s="23" t="str">
        <x:v>caso ejemplo hoja Motor</x:v>
      </x:c>
      <x:c r="D13" s="40" t="n">
        <x:v>67.8571</x:v>
      </x:c>
      <x:c r="E13" s="40" t="str">
        <x:v>high_reference</x:v>
      </x:c>
      <x:c r="F13" s="40" t="n">
        <x:v>60.7143</x:v>
      </x:c>
      <x:c r="G13" s="40" t="n">
        <x:v>67.8571</x:v>
      </x:c>
      <x:c r="H13" s="40" t="n">
        <x:v>75</x:v>
      </x:c>
      <x:c r="I13" s="23" t="str">
        <x:v>pass_generated</x:v>
      </x:c>
    </x:row>
    <x:row r="14">
      <x:c r="A14" s="23" t="str">
        <x:v>T13</x:v>
      </x:c>
      <x:c r="B14" s="23" t="str">
        <x:v>ES</x:v>
      </x:c>
      <x:c r="C14" s="23" t="str">
        <x:v>típico moderado-bajo</x:v>
      </x:c>
      <x:c r="D14" s="40" t="n">
        <x:v>39.2857</x:v>
      </x:c>
      <x:c r="E14" s="40" t="str">
        <x:v>below_high_reference</x:v>
      </x:c>
      <x:c r="F14" s="40" t="n">
        <x:v>32.1429</x:v>
      </x:c>
      <x:c r="G14" s="40" t="n">
        <x:v>39.2857</x:v>
      </x:c>
      <x:c r="H14" s="40" t="n">
        <x:v>46.4286</x:v>
      </x:c>
      <x:c r="I14" s="23" t="str">
        <x:v>pass_generated</x:v>
      </x:c>
    </x:row>
    <x:row r="15">
      <x:c r="A15" s="23" t="str">
        <x:v>T14</x:v>
      </x:c>
      <x:c r="B15" s="23" t="str">
        <x:v>BR</x:v>
      </x:c>
      <x:c r="C15" s="23" t="str">
        <x:v>típico moderado-alto con energía baja</x:v>
      </x:c>
      <x:c r="D15" s="40" t="n">
        <x:v>67.8571</x:v>
      </x:c>
      <x:c r="E15" s="40" t="str">
        <x:v>high_reference</x:v>
      </x:c>
      <x:c r="F15" s="40" t="n">
        <x:v>60.7143</x:v>
      </x:c>
      <x:c r="G15" s="40" t="n">
        <x:v>67.8571</x:v>
      </x:c>
      <x:c r="H15" s="40" t="n">
        <x:v>75</x:v>
      </x:c>
      <x:c r="I15" s="23" t="str">
        <x:v>pass_generated</x:v>
      </x:c>
    </x:row>
    <x:row r="16">
      <x:c r="A16" s="23" t="str">
        <x:v>T15</x:v>
      </x:c>
      <x:c r="B16" s="23" t="str">
        <x:v>GB</x:v>
      </x:c>
      <x:c r="C16" s="23" t="str">
        <x:v>empate de drivers; desempate por orden de ítem</x:v>
      </x:c>
      <x:c r="D16" s="40" t="n">
        <x:v>67.8571</x:v>
      </x:c>
      <x:c r="E16" s="40" t="str">
        <x:v>high_reference</x:v>
      </x:c>
      <x:c r="F16" s="40" t="n">
        <x:v>60.7143</x:v>
      </x:c>
      <x:c r="G16" s="40" t="n">
        <x:v>67.8571</x:v>
      </x:c>
      <x:c r="H16" s="40" t="n">
        <x:v>75</x:v>
      </x:c>
      <x:c r="I16" s="23" t="str">
        <x:v>pass_generated</x:v>
      </x:c>
    </x:row>
    <x:row r="17">
      <x:c r="A17" s="23" t="str">
        <x:v>T16</x:v>
      </x:c>
      <x:c r="B17" s="23" t="str">
        <x:v>CA</x:v>
      </x:c>
      <x:c r="C17" s="23" t="str">
        <x:v>energía alta compensa parcialmente cargas medias</x:v>
      </x:c>
      <x:c r="D17" s="40" t="n">
        <x:v>50</x:v>
      </x:c>
      <x:c r="E17" s="40" t="str">
        <x:v>high_reference</x:v>
      </x:c>
      <x:c r="F17" s="40" t="n">
        <x:v>42.8571</x:v>
      </x:c>
      <x:c r="G17" s="40" t="n">
        <x:v>50</x:v>
      </x:c>
      <x:c r="H17" s="40" t="n">
        <x:v>57.1429</x:v>
      </x:c>
      <x:c r="I17" s="23" t="str">
        <x:v>pass_generated</x:v>
      </x:c>
    </x:row>
    <x:row r="18">
      <x:c r="A18" s="23" t="str">
        <x:v>T17</x:v>
      </x:c>
      <x:c r="B18" s="23" t="str">
        <x:v>AU</x:v>
      </x:c>
      <x:c r="C18" s="23" t="str">
        <x:v>mezcla de extremos</x:v>
      </x:c>
      <x:c r="D18" s="40" t="n">
        <x:v>57.1429</x:v>
      </x:c>
      <x:c r="E18" s="40" t="str">
        <x:v>high_reference</x:v>
      </x:c>
      <x:c r="F18" s="40" t="n">
        <x:v>50</x:v>
      </x:c>
      <x:c r="G18" s="40" t="n">
        <x:v>57.1429</x:v>
      </x:c>
      <x:c r="H18" s="40" t="n">
        <x:v>64.2857</x:v>
      </x:c>
      <x:c r="I18" s="23" t="str">
        <x:v>pass_generated</x:v>
      </x:c>
    </x:row>
    <x:row r="19">
      <x:c r="A19" s="23" t="str">
        <x:v>T18</x:v>
      </x:c>
      <x:c r="B19" s="23" t="str">
        <x:v>MX</x:v>
      </x:c>
      <x:c r="C19" s="23" t="str">
        <x:v>mezcla de frecuencias y grado</x:v>
      </x:c>
      <x:c r="D19" s="40" t="n">
        <x:v>53.5714</x:v>
      </x:c>
      <x:c r="E19" s="40" t="str">
        <x:v>high_reference</x:v>
      </x:c>
      <x:c r="F19" s="40" t="n">
        <x:v>46.4286</x:v>
      </x:c>
      <x:c r="G19" s="40" t="n">
        <x:v>53.5714</x:v>
      </x:c>
      <x:c r="H19" s="40" t="n">
        <x:v>60.7143</x:v>
      </x:c>
      <x:c r="I19" s="23" t="str">
        <x:v>pass_generated</x:v>
      </x:c>
    </x:row>
    <x:row r="20">
      <x:c r="A20" s="23" t="str">
        <x:v>T19</x:v>
      </x:c>
      <x:c r="B20" s="23" t="str">
        <x:v>US</x:v>
      </x:c>
      <x:c r="C20" s="23" t="str">
        <x:v>corte exacto alternativo con energía invertida</x:v>
      </x:c>
      <x:c r="D20" s="40" t="n">
        <x:v>50</x:v>
      </x:c>
      <x:c r="E20" s="40" t="str">
        <x:v>high_reference</x:v>
      </x:c>
      <x:c r="F20" s="40" t="n">
        <x:v>42.8571</x:v>
      </x:c>
      <x:c r="G20" s="40" t="n">
        <x:v>50</x:v>
      </x:c>
      <x:c r="H20" s="40" t="n">
        <x:v>57.1429</x:v>
      </x:c>
      <x:c r="I20" s="23" t="str">
        <x:v>pass_generated</x:v>
      </x:c>
    </x:row>
    <x:row r="21">
      <x:c r="A21" s="23" t="str">
        <x:v>T20</x:v>
      </x:c>
      <x:c r="B21" s="23" t="str">
        <x:v>ES</x:v>
      </x:c>
      <x:c r="C21" s="23" t="str">
        <x:v>casi máximo con dos ítems elegibles para empeorar</x:v>
      </x:c>
      <x:c r="D21" s="40" t="n">
        <x:v>92.8571</x:v>
      </x:c>
      <x:c r="E21" s="40" t="str">
        <x:v>high_reference</x:v>
      </x:c>
      <x:c r="F21" s="40" t="n">
        <x:v>85.7143</x:v>
      </x:c>
      <x:c r="G21" s="40" t="n">
        <x:v>92.8571</x:v>
      </x:c>
      <x:c r="H21" s="40" t="n">
        <x:v>100</x:v>
      </x:c>
      <x:c r="I21" s="23" t="str">
        <x:v>pass_generated</x:v>
      </x:c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65" hidden="0" customWidth="1"/>
    <x:col min="4" max="4" width="68" hidden="0" customWidth="1"/>
    <x:col min="5" max="5" width="16" hidden="0" customWidth="1"/>
  </x:cols>
  <x:sheetData>
    <x:row r="1" ht="24" customHeight="1">
      <x:c r="A1" s="12" t="str">
        <x:v>version</x:v>
      </x:c>
      <x:c r="B1" s="12" t="str">
        <x:v>date</x:v>
      </x:c>
      <x:c r="C1" s="12" t="str">
        <x:v>change</x:v>
      </x:c>
      <x:c r="D1" s="12" t="str">
        <x:v>reason</x:v>
      </x:c>
      <x:c r="E1" s="12" t="str">
        <x:v>status</x:v>
      </x:c>
    </x:row>
    <x:row r="2">
      <x:c r="A2" s="23" t="str">
        <x:v>2.0.0</x:v>
      </x:c>
      <x:c r="B2" s="23" t="str">
        <x:v>2026-10-06</x:v>
      </x:c>
      <x:c r="C2" s="23" t="str">
        <x:v>Se adopta CBI Work-related completo de 7 ítems como cifra principal.</x:v>
      </x:c>
      <x:c r="D2" s="23" t="str">
        <x:v>Integridad de escala y auditabilidad.</x:v>
      </x:c>
      <x:c r="E2" s="23" t="str">
        <x:v>aplicado</x:v>
      </x:c>
    </x:row>
    <x:row r="3">
      <x:c r="A3" s="23" t="str">
        <x:v>2.0.0</x:v>
      </x:c>
      <x:c r="B3" s="23" t="str">
        <x:v>2026-10-06</x:v>
      </x:c>
      <x:c r="C3" s="23" t="str">
        <x:v>Se reemplaza probabilidad 30d por sobre de escenarios condicional.</x:v>
      </x:c>
      <x:c r="D3" s="23" t="str">
        <x:v>No se encontró dataset longitudinal 30d abierto/licenciable suficiente.</x:v>
      </x:c>
      <x:c r="E3" s="23" t="str">
        <x:v>aplicado</x:v>
      </x:c>
    </x:row>
    <x:row r="4">
      <x:c r="A4" s="23" t="str">
        <x:v>2.0.0</x:v>
      </x:c>
      <x:c r="B4" s="23" t="str">
        <x:v>2026-10-06</x:v>
      </x:c>
      <x:c r="C4" s="23" t="str">
        <x:v>Horas y sueño salen del scoring v1.</x:v>
      </x:c>
      <x:c r="D4" s="23" t="str">
        <x:v>No existe coeficiente validado para traducirlos a puntos CBI 30d.</x:v>
      </x:c>
      <x:c r="E4" s="23" t="str">
        <x:v>aplicado</x:v>
      </x:c>
    </x:row>
    <x:row r="5">
      <x:c r="A5" s="23" t="str">
        <x:v>2.0.0</x:v>
      </x:c>
      <x:c r="B5" s="23" t="str">
        <x:v>2026-10-06</x:v>
      </x:c>
      <x:c r="C5" s="23" t="str">
        <x:v>Se añade localización PPP 2025 y precios como hipótesis.</x:v>
      </x:c>
      <x:c r="D5" s="23" t="str">
        <x:v>Monetización separada del modelo científico.</x:v>
      </x:c>
      <x:c r="E5" s="23" t="str">
        <x:v>aplicado</x:v>
      </x:c>
    </x:row>
    <x:row r="6">
      <x:c r="A6" t="str">
        <x:v>3.0.0</x:v>
      </x:c>
      <x:c r="B6" t="str">
        <x:v>2026-10-06</x:v>
      </x:c>
      <x:c r="C6" t="str">
        <x:v>QA independiente confirma 20/20 golden vectors y paridad 20/20 con engine_reference.</x:v>
      </x:c>
      <x:c r="D6" t="str">
        <x:v>Doble verificación antes de inspeccionar el motor de referencia.</x:v>
      </x:c>
      <x:c r="E6" t="str">
        <x:v>aplicado</x:v>
      </x:c>
    </x:row>
    <x:row r="7">
      <x:c r="A7" t="str">
        <x:v>3.0.0</x:v>
      </x:c>
      <x:c r="B7" t="str">
        <x:v>2026-10-06</x:v>
      </x:c>
      <x:c r="C7" t="str">
        <x:v>Se endurece validación del motor: país case-sensitive y rechazo de propiedades extra.</x:v>
      </x:c>
      <x:c r="D7" t="str">
        <x:v>Alinear ejecución con inputs.schema.json y evitar schema drift.</x:v>
      </x:c>
      <x:c r="E7" t="str">
        <x:v>aplicado</x:v>
      </x:c>
    </x:row>
    <x:row r="8">
      <x:c r="A8" t="str">
        <x:v>3.0.0</x:v>
      </x:c>
      <x:c r="B8" t="str">
        <x:v>2026-10-06</x:v>
      </x:c>
      <x:c r="C8" t="str">
        <x:v>Se corrige licencia de SRC_HF_ROBERTA a conflicto Apache-2.0/MIT; queda no_verificado.</x:v>
      </x:c>
      <x:c r="D8" t="str">
        <x:v>Evitar afirmar licencia productiva no resuelta.</x:v>
      </x:c>
      <x:c r="E8" t="str">
        <x:v>aplicado</x:v>
      </x:c>
    </x:row>
    <x:row r="9">
      <x:c r="A9" t="str">
        <x:v>3.0.0</x:v>
      </x:c>
      <x:c r="B9" t="str">
        <x:v>2026-10-06</x:v>
      </x:c>
      <x:c r="C9" t="str">
        <x:v>Se valida robustez exhaustiva 5^7 y 10 casos/propiedades adicionales.</x:v>
      </x:c>
      <x:c r="D9" t="str">
        <x:v>Bordes, monotonicidad y estabilidad numérica.</x:v>
      </x:c>
      <x:c r="E9" t="str">
        <x:v>aplicado</x:v>
      </x:c>
    </x:row>
    <x:row r="10">
      <x:c r="A10" t="str">
        <x:v>3.0.0</x:v>
      </x:c>
      <x:c r="B10" t="str">
        <x:v>2026-10-06</x:v>
      </x:c>
      <x:c r="C10" t="str">
        <x:v>Se alinea UX: score actual sin falsa curva temporal; escenarios son what-if.</x:v>
      </x:c>
      <x:c r="D10" t="str">
        <x:v>Evitar confundir simulación condicional con predicción.</x:v>
      </x:c>
      <x:c r="E10" t="str">
        <x:v>aplicado</x:v>
      </x:c>
    </x:row>
  </x:sheetData>
  <x:pageMargins left="0.7" right="0.7" top="0.75" bottom="0.75" header="0.3" footer="0.3"/>
</x:worksheet>
</file>